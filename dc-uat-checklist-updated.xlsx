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500" firstSheet="0" activeTab="2" autoFilterDateGrouping="1"/>
  </bookViews>
  <sheets>
    <sheet name="Instructions" sheetId="1" state="visible" r:id="rId1"/>
    <sheet name="Summary" sheetId="2" state="visible" r:id="rId2"/>
    <sheet name="UAT Checklist" sheetId="3" state="visible" r:id="rId3"/>
  </sheets>
  <definedNames>
    <definedName name="_xlnm.Print_Area" localSheetId="0">'Instructions'!$A$1:$C$27</definedName>
    <definedName name="_xlnm.Print_Area" localSheetId="1">'Summary'!$A$1:$I$28</definedName>
    <definedName name="_xlnm._FilterDatabase" localSheetId="2" hidden="1">'UAT Checklist'!$A$1:$K$127</definedName>
    <definedName name="_xlnm.Print_Titles" localSheetId="2">'UAT Checklist'!$1:$1</definedName>
    <definedName name="_xlnm.Print_Area" localSheetId="2">'UAT Checklist'!$A$1:$K$127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b val="1"/>
      <sz val="16"/>
    </font>
    <font>
      <name val="Arial"/>
      <charset val="1"/>
      <i val="1"/>
      <color rgb="FF5B5A55"/>
      <sz val="10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33322E"/>
        <bgColor rgb="FF333300"/>
      </patternFill>
    </fill>
  </fills>
  <borders count="3">
    <border>
      <left/>
      <right/>
      <top/>
      <bottom/>
      <diagonal/>
    </border>
    <border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4" fillId="0" borderId="1" pivotButton="0" quotePrefix="0" xfId="0"/>
    <xf numFmtId="9" fontId="4" fillId="0" borderId="1" pivotButton="0" quotePrefix="0" xfId="0"/>
    <xf numFmtId="0" fontId="3" fillId="0" borderId="2" pivotButton="0" quotePrefix="0" xfId="0"/>
    <xf numFmtId="9" fontId="3" fillId="0" borderId="2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dxfs count="5">
    <dxf>
      <font>
        <name val="Arial"/>
        <charset val="1"/>
        <color rgb="FF5F5E5A"/>
      </font>
      <fill>
        <patternFill>
          <bgColor rgb="FFF1EFE8"/>
        </patternFill>
      </fill>
    </dxf>
    <dxf>
      <font>
        <name val="Arial"/>
        <charset val="1"/>
        <b val="1"/>
        <color rgb="FF854F0B"/>
      </font>
      <fill>
        <patternFill>
          <bgColor rgb="FFFDEBCF"/>
        </patternFill>
      </fill>
    </dxf>
    <dxf>
      <font>
        <name val="Arial"/>
        <charset val="1"/>
        <b val="1"/>
        <color rgb="FFA32D2D"/>
      </font>
      <fill>
        <patternFill>
          <bgColor rgb="FFFBDADA"/>
        </patternFill>
      </fill>
    </dxf>
    <dxf>
      <font>
        <name val="Arial"/>
        <charset val="1"/>
        <b val="1"/>
        <color rgb="FF0F6E56"/>
      </font>
      <fill>
        <patternFill>
          <bgColor rgb="FFD9F2E6"/>
        </patternFill>
      </fill>
    </dxf>
    <dxf>
      <font>
        <name val="Arial"/>
        <charset val="1"/>
        <b val="1"/>
        <color rgb="FFA32D2D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0C0C0"/>
      <rgbColor rgb="FF5B5A55"/>
      <rgbColor rgb="FF9999FF"/>
      <rgbColor rgb="FF993366"/>
      <rgbColor rgb="FFFDEBCF"/>
      <rgbColor rgb="FFD9F2E6"/>
      <rgbColor rgb="FF660066"/>
      <rgbColor rgb="FFFF8080"/>
      <rgbColor rgb="FF0066CC"/>
      <rgbColor rgb="FFD9D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FFF99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3332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6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min="1" max="1"/>
    <col width="110" customWidth="1" min="2" max="2"/>
  </cols>
  <sheetData>
    <row r="2" ht="20" customHeight="1">
      <c r="B2" s="1" t="inlineStr">
        <is>
          <t>Emagine U At Play — UAT Checklist</t>
        </is>
      </c>
    </row>
    <row r="3">
      <c r="B3" s="2" t="inlineStr">
        <is>
          <t>End-to-end User Acceptance Testing checklist for the daycare + therapy management system</t>
        </is>
      </c>
    </row>
    <row r="5">
      <c r="B5" s="3" t="inlineStr">
        <is>
          <t>How to use this workbook</t>
        </is>
      </c>
    </row>
    <row r="6">
      <c r="B6" s="4" t="inlineStr">
        <is>
          <t>1. Open the "UAT Checklist" tab. It lists every test case across all 22 modules, in build order.</t>
        </is>
      </c>
    </row>
    <row r="7">
      <c r="B7" s="4" t="inlineStr">
        <is>
          <t>2. Work through it top to bottom, or use the filter arrows on row 1 to test one module at a time.</t>
        </is>
      </c>
    </row>
    <row r="8">
      <c r="B8" s="4" t="inlineStr">
        <is>
          <t>3. For each row: perform the Steps to Execute, compare the real result to Expected Result, then fill in Status, Actual Result / Comments, Tested By, and Date Tested.</t>
        </is>
      </c>
    </row>
    <row r="9">
      <c r="B9" s="4" t="inlineStr">
        <is>
          <t>4. Only edit the columns Status, Actual Result / Comments, Tested By, and Date Tested — every other column is the test spec itself and shouldn't be changed.</t>
        </is>
      </c>
    </row>
    <row r="10">
      <c r="B10" s="4" t="inlineStr">
        <is>
          <t>5. Check the "Summary" tab any time for a live pass/fail count per module — it updates automatically from your Status entries.</t>
        </is>
      </c>
    </row>
    <row r="11">
      <c r="B11" s="4" t="n"/>
    </row>
    <row r="12">
      <c r="B12" s="3" t="inlineStr">
        <is>
          <t>Status column legend</t>
        </is>
      </c>
    </row>
    <row r="13">
      <c r="B13" s="4" t="inlineStr">
        <is>
          <t>Not Tested — default state, not yet attempted</t>
        </is>
      </c>
    </row>
    <row r="14">
      <c r="B14" s="4" t="inlineStr">
        <is>
          <t>Pass — behaved exactly as Expected Result describes</t>
        </is>
      </c>
    </row>
    <row r="15">
      <c r="B15" s="4" t="inlineStr">
        <is>
          <t>Fail — did not match Expected Result — describe what happened in Actual Result / Comments</t>
        </is>
      </c>
    </row>
    <row r="16">
      <c r="B16" s="4" t="inlineStr">
        <is>
          <t>Blocked — could not be tested (e.g. a dependency isn't built yet)</t>
        </is>
      </c>
    </row>
    <row r="17">
      <c r="B17" s="4" t="inlineStr">
        <is>
          <t>N/A — doesn't apply to your current setup</t>
        </is>
      </c>
    </row>
    <row r="18">
      <c r="B18" s="4" t="n"/>
    </row>
    <row r="19">
      <c r="B19" s="3" t="inlineStr">
        <is>
          <t>Priority column legend</t>
        </is>
      </c>
    </row>
    <row r="20">
      <c r="B20" s="4" t="inlineStr">
        <is>
          <t>High — core money, safety, or access-control behavior; test these first</t>
        </is>
      </c>
    </row>
    <row r="21">
      <c r="B21" s="4" t="inlineStr">
        <is>
          <t>Medium — important day-to-day functionality</t>
        </is>
      </c>
    </row>
    <row r="22">
      <c r="B22" s="4" t="inlineStr">
        <is>
          <t>Low — nice-to-have / cosmetic behavior</t>
        </is>
      </c>
    </row>
    <row r="23">
      <c r="B23" s="4" t="n"/>
    </row>
    <row r="24">
      <c r="B24" s="3" t="inlineStr">
        <is>
          <t>Before you start</t>
        </is>
      </c>
    </row>
    <row r="25">
      <c r="B25" s="4" t="inlineStr">
        <is>
          <t>Make sure the database has been freshly seeded (php artisan migrate:fresh --seed) so admin@daycare.com exists and role/permission data matches what these test cases assume.</t>
        </is>
      </c>
    </row>
    <row r="26">
      <c r="B26" s="4" t="inlineStr">
        <is>
          <t>Have at least one seeded parent account with a child, and one seeded staff account, so role-based test cases (marked across every module) have something real to check against.</t>
        </is>
      </c>
    </row>
  </sheetData>
  <pageMargins left="0.75" right="0.75" top="1" bottom="1" header="0.511811023622047" footer="0.511811023622047"/>
  <pageSetup orientation="portrait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3" customWidth="1" min="1" max="1"/>
    <col width="26" customWidth="1" min="2" max="2"/>
    <col width="12" customWidth="1" min="3" max="8"/>
    <col width="11" customWidth="1" min="9" max="9"/>
  </cols>
  <sheetData>
    <row r="2" ht="20" customHeight="1">
      <c r="B2" s="1" t="inlineStr">
        <is>
          <t>UAT Progress Summary</t>
        </is>
      </c>
    </row>
    <row r="3">
      <c r="B3" s="2" t="inlineStr">
        <is>
          <t>Updates automatically from the Status column on the UAT Checklist tab</t>
        </is>
      </c>
    </row>
    <row r="5">
      <c r="B5" s="5" t="inlineStr">
        <is>
          <t>Module</t>
        </is>
      </c>
      <c r="C5" s="5" t="inlineStr">
        <is>
          <t>Total Cases</t>
        </is>
      </c>
      <c r="D5" s="5" t="inlineStr">
        <is>
          <t>Not Tested</t>
        </is>
      </c>
      <c r="E5" s="5" t="inlineStr">
        <is>
          <t>Pass</t>
        </is>
      </c>
      <c r="F5" s="5" t="inlineStr">
        <is>
          <t>Fail</t>
        </is>
      </c>
      <c r="G5" s="5" t="inlineStr">
        <is>
          <t>Blocked</t>
        </is>
      </c>
      <c r="H5" s="5" t="inlineStr">
        <is>
          <t>N/A</t>
        </is>
      </c>
      <c r="I5" s="5" t="inlineStr">
        <is>
          <t>Pass Rate</t>
        </is>
      </c>
    </row>
    <row r="6">
      <c r="B6" s="6" t="inlineStr">
        <is>
          <t>Authentication</t>
        </is>
      </c>
      <c r="C6" s="6">
        <f>COUNTIF('UAT Checklist'!$B$2:$B$127,$B6)</f>
        <v/>
      </c>
      <c r="D6" s="6">
        <f>COUNTIFS('UAT Checklist'!$B$2:$B$127,$B6,'UAT Checklist'!$H$2:$H$127,"Not Tested")</f>
        <v/>
      </c>
      <c r="E6" s="6">
        <f>COUNTIFS('UAT Checklist'!$B$2:$B$127,$B6,'UAT Checklist'!$H$2:$H$127,"Pass")</f>
        <v/>
      </c>
      <c r="F6" s="6">
        <f>COUNTIFS('UAT Checklist'!$B$2:$B$127,$B6,'UAT Checklist'!$H$2:$H$127,"Fail")</f>
        <v/>
      </c>
      <c r="G6" s="6">
        <f>COUNTIFS('UAT Checklist'!$B$2:$B$127,$B6,'UAT Checklist'!$H$2:$H$127,"Blocked")</f>
        <v/>
      </c>
      <c r="H6" s="6">
        <f>COUNTIFS('UAT Checklist'!$B$2:$B$127,$B6,'UAT Checklist'!$H$2:$H$127,"N/A")</f>
        <v/>
      </c>
      <c r="I6" s="7">
        <f>IFERROR(E6/C6,0)</f>
        <v/>
      </c>
    </row>
    <row r="7">
      <c r="B7" s="6" t="inlineStr">
        <is>
          <t>User Management</t>
        </is>
      </c>
      <c r="C7" s="6">
        <f>COUNTIF('UAT Checklist'!$B$2:$B$127,$B7)</f>
        <v/>
      </c>
      <c r="D7" s="6">
        <f>COUNTIFS('UAT Checklist'!$B$2:$B$127,$B7,'UAT Checklist'!$H$2:$H$127,"Not Tested")</f>
        <v/>
      </c>
      <c r="E7" s="6">
        <f>COUNTIFS('UAT Checklist'!$B$2:$B$127,$B7,'UAT Checklist'!$H$2:$H$127,"Pass")</f>
        <v/>
      </c>
      <c r="F7" s="6">
        <f>COUNTIFS('UAT Checklist'!$B$2:$B$127,$B7,'UAT Checklist'!$H$2:$H$127,"Fail")</f>
        <v/>
      </c>
      <c r="G7" s="6">
        <f>COUNTIFS('UAT Checklist'!$B$2:$B$127,$B7,'UAT Checklist'!$H$2:$H$127,"Blocked")</f>
        <v/>
      </c>
      <c r="H7" s="6">
        <f>COUNTIFS('UAT Checklist'!$B$2:$B$127,$B7,'UAT Checklist'!$H$2:$H$127,"N/A")</f>
        <v/>
      </c>
      <c r="I7" s="7">
        <f>IFERROR(E7/C7,0)</f>
        <v/>
      </c>
    </row>
    <row r="8">
      <c r="B8" s="6" t="inlineStr">
        <is>
          <t>Roles &amp; Permissions</t>
        </is>
      </c>
      <c r="C8" s="6">
        <f>COUNTIF('UAT Checklist'!$B$2:$B$127,$B8)</f>
        <v/>
      </c>
      <c r="D8" s="6">
        <f>COUNTIFS('UAT Checklist'!$B$2:$B$127,$B8,'UAT Checklist'!$H$2:$H$127,"Not Tested")</f>
        <v/>
      </c>
      <c r="E8" s="6">
        <f>COUNTIFS('UAT Checklist'!$B$2:$B$127,$B8,'UAT Checklist'!$H$2:$H$127,"Pass")</f>
        <v/>
      </c>
      <c r="F8" s="6">
        <f>COUNTIFS('UAT Checklist'!$B$2:$B$127,$B8,'UAT Checklist'!$H$2:$H$127,"Fail")</f>
        <v/>
      </c>
      <c r="G8" s="6">
        <f>COUNTIFS('UAT Checklist'!$B$2:$B$127,$B8,'UAT Checklist'!$H$2:$H$127,"Blocked")</f>
        <v/>
      </c>
      <c r="H8" s="6">
        <f>COUNTIFS('UAT Checklist'!$B$2:$B$127,$B8,'UAT Checklist'!$H$2:$H$127,"N/A")</f>
        <v/>
      </c>
      <c r="I8" s="7">
        <f>IFERROR(E8/C8,0)</f>
        <v/>
      </c>
    </row>
    <row r="9">
      <c r="B9" s="6" t="inlineStr">
        <is>
          <t>Children Management</t>
        </is>
      </c>
      <c r="C9" s="6">
        <f>COUNTIF('UAT Checklist'!$B$2:$B$127,$B9)</f>
        <v/>
      </c>
      <c r="D9" s="6">
        <f>COUNTIFS('UAT Checklist'!$B$2:$B$127,$B9,'UAT Checklist'!$H$2:$H$127,"Not Tested")</f>
        <v/>
      </c>
      <c r="E9" s="6">
        <f>COUNTIFS('UAT Checklist'!$B$2:$B$127,$B9,'UAT Checklist'!$H$2:$H$127,"Pass")</f>
        <v/>
      </c>
      <c r="F9" s="6">
        <f>COUNTIFS('UAT Checklist'!$B$2:$B$127,$B9,'UAT Checklist'!$H$2:$H$127,"Fail")</f>
        <v/>
      </c>
      <c r="G9" s="6">
        <f>COUNTIFS('UAT Checklist'!$B$2:$B$127,$B9,'UAT Checklist'!$H$2:$H$127,"Blocked")</f>
        <v/>
      </c>
      <c r="H9" s="6">
        <f>COUNTIFS('UAT Checklist'!$B$2:$B$127,$B9,'UAT Checklist'!$H$2:$H$127,"N/A")</f>
        <v/>
      </c>
      <c r="I9" s="7">
        <f>IFERROR(E9/C9,0)</f>
        <v/>
      </c>
    </row>
    <row r="10">
      <c r="B10" s="6" t="inlineStr">
        <is>
          <t>Guardian-Child Access</t>
        </is>
      </c>
      <c r="C10" s="6">
        <f>COUNTIF('UAT Checklist'!$B$2:$B$127,$B10)</f>
        <v/>
      </c>
      <c r="D10" s="6">
        <f>COUNTIFS('UAT Checklist'!$B$2:$B$127,$B10,'UAT Checklist'!$H$2:$H$127,"Not Tested")</f>
        <v/>
      </c>
      <c r="E10" s="6">
        <f>COUNTIFS('UAT Checklist'!$B$2:$B$127,$B10,'UAT Checklist'!$H$2:$H$127,"Pass")</f>
        <v/>
      </c>
      <c r="F10" s="6">
        <f>COUNTIFS('UAT Checklist'!$B$2:$B$127,$B10,'UAT Checklist'!$H$2:$H$127,"Fail")</f>
        <v/>
      </c>
      <c r="G10" s="6">
        <f>COUNTIFS('UAT Checklist'!$B$2:$B$127,$B10,'UAT Checklist'!$H$2:$H$127,"Blocked")</f>
        <v/>
      </c>
      <c r="H10" s="6">
        <f>COUNTIFS('UAT Checklist'!$B$2:$B$127,$B10,'UAT Checklist'!$H$2:$H$127,"N/A")</f>
        <v/>
      </c>
      <c r="I10" s="7">
        <f>IFERROR(E10/C10,0)</f>
        <v/>
      </c>
    </row>
    <row r="11">
      <c r="B11" s="6" t="inlineStr">
        <is>
          <t>Programs</t>
        </is>
      </c>
      <c r="C11" s="6">
        <f>COUNTIF('UAT Checklist'!$B$2:$B$127,$B11)</f>
        <v/>
      </c>
      <c r="D11" s="6">
        <f>COUNTIFS('UAT Checklist'!$B$2:$B$127,$B11,'UAT Checklist'!$H$2:$H$127,"Not Tested")</f>
        <v/>
      </c>
      <c r="E11" s="6">
        <f>COUNTIFS('UAT Checklist'!$B$2:$B$127,$B11,'UAT Checklist'!$H$2:$H$127,"Pass")</f>
        <v/>
      </c>
      <c r="F11" s="6">
        <f>COUNTIFS('UAT Checklist'!$B$2:$B$127,$B11,'UAT Checklist'!$H$2:$H$127,"Fail")</f>
        <v/>
      </c>
      <c r="G11" s="6">
        <f>COUNTIFS('UAT Checklist'!$B$2:$B$127,$B11,'UAT Checklist'!$H$2:$H$127,"Blocked")</f>
        <v/>
      </c>
      <c r="H11" s="6">
        <f>COUNTIFS('UAT Checklist'!$B$2:$B$127,$B11,'UAT Checklist'!$H$2:$H$127,"N/A")</f>
        <v/>
      </c>
      <c r="I11" s="7">
        <f>IFERROR(E11/C11,0)</f>
        <v/>
      </c>
    </row>
    <row r="12">
      <c r="B12" s="6" t="inlineStr">
        <is>
          <t>Enrollments</t>
        </is>
      </c>
      <c r="C12" s="6">
        <f>COUNTIF('UAT Checklist'!$B$2:$B$127,$B12)</f>
        <v/>
      </c>
      <c r="D12" s="6">
        <f>COUNTIFS('UAT Checklist'!$B$2:$B$127,$B12,'UAT Checklist'!$H$2:$H$127,"Not Tested")</f>
        <v/>
      </c>
      <c r="E12" s="6">
        <f>COUNTIFS('UAT Checklist'!$B$2:$B$127,$B12,'UAT Checklist'!$H$2:$H$127,"Pass")</f>
        <v/>
      </c>
      <c r="F12" s="6">
        <f>COUNTIFS('UAT Checklist'!$B$2:$B$127,$B12,'UAT Checklist'!$H$2:$H$127,"Fail")</f>
        <v/>
      </c>
      <c r="G12" s="6">
        <f>COUNTIFS('UAT Checklist'!$B$2:$B$127,$B12,'UAT Checklist'!$H$2:$H$127,"Blocked")</f>
        <v/>
      </c>
      <c r="H12" s="6">
        <f>COUNTIFS('UAT Checklist'!$B$2:$B$127,$B12,'UAT Checklist'!$H$2:$H$127,"N/A")</f>
        <v/>
      </c>
      <c r="I12" s="7">
        <f>IFERROR(E12/C12,0)</f>
        <v/>
      </c>
    </row>
    <row r="13">
      <c r="B13" s="6" t="inlineStr">
        <is>
          <t>Waitlist</t>
        </is>
      </c>
      <c r="C13" s="6">
        <f>COUNTIF('UAT Checklist'!$B$2:$B$127,$B13)</f>
        <v/>
      </c>
      <c r="D13" s="6">
        <f>COUNTIFS('UAT Checklist'!$B$2:$B$127,$B13,'UAT Checklist'!$H$2:$H$127,"Not Tested")</f>
        <v/>
      </c>
      <c r="E13" s="6">
        <f>COUNTIFS('UAT Checklist'!$B$2:$B$127,$B13,'UAT Checklist'!$H$2:$H$127,"Pass")</f>
        <v/>
      </c>
      <c r="F13" s="6">
        <f>COUNTIFS('UAT Checklist'!$B$2:$B$127,$B13,'UAT Checklist'!$H$2:$H$127,"Fail")</f>
        <v/>
      </c>
      <c r="G13" s="6">
        <f>COUNTIFS('UAT Checklist'!$B$2:$B$127,$B13,'UAT Checklist'!$H$2:$H$127,"Blocked")</f>
        <v/>
      </c>
      <c r="H13" s="6">
        <f>COUNTIFS('UAT Checklist'!$B$2:$B$127,$B13,'UAT Checklist'!$H$2:$H$127,"N/A")</f>
        <v/>
      </c>
      <c r="I13" s="7">
        <f>IFERROR(E13/C13,0)</f>
        <v/>
      </c>
    </row>
    <row r="14">
      <c r="B14" s="6" t="inlineStr">
        <is>
          <t>Attendance</t>
        </is>
      </c>
      <c r="C14" s="6">
        <f>COUNTIF('UAT Checklist'!$B$2:$B$127,$B14)</f>
        <v/>
      </c>
      <c r="D14" s="6">
        <f>COUNTIFS('UAT Checklist'!$B$2:$B$127,$B14,'UAT Checklist'!$H$2:$H$127,"Not Tested")</f>
        <v/>
      </c>
      <c r="E14" s="6">
        <f>COUNTIFS('UAT Checklist'!$B$2:$B$127,$B14,'UAT Checklist'!$H$2:$H$127,"Pass")</f>
        <v/>
      </c>
      <c r="F14" s="6">
        <f>COUNTIFS('UAT Checklist'!$B$2:$B$127,$B14,'UAT Checklist'!$H$2:$H$127,"Fail")</f>
        <v/>
      </c>
      <c r="G14" s="6">
        <f>COUNTIFS('UAT Checklist'!$B$2:$B$127,$B14,'UAT Checklist'!$H$2:$H$127,"Blocked")</f>
        <v/>
      </c>
      <c r="H14" s="6">
        <f>COUNTIFS('UAT Checklist'!$B$2:$B$127,$B14,'UAT Checklist'!$H$2:$H$127,"N/A")</f>
        <v/>
      </c>
      <c r="I14" s="7">
        <f>IFERROR(E14/C14,0)</f>
        <v/>
      </c>
    </row>
    <row r="15">
      <c r="B15" s="6" t="inlineStr">
        <is>
          <t>Child Daily Logs</t>
        </is>
      </c>
      <c r="C15" s="6">
        <f>COUNTIF('UAT Checklist'!$B$2:$B$127,$B15)</f>
        <v/>
      </c>
      <c r="D15" s="6">
        <f>COUNTIFS('UAT Checklist'!$B$2:$B$127,$B15,'UAT Checklist'!$H$2:$H$127,"Not Tested")</f>
        <v/>
      </c>
      <c r="E15" s="6">
        <f>COUNTIFS('UAT Checklist'!$B$2:$B$127,$B15,'UAT Checklist'!$H$2:$H$127,"Pass")</f>
        <v/>
      </c>
      <c r="F15" s="6">
        <f>COUNTIFS('UAT Checklist'!$B$2:$B$127,$B15,'UAT Checklist'!$H$2:$H$127,"Fail")</f>
        <v/>
      </c>
      <c r="G15" s="6">
        <f>COUNTIFS('UAT Checklist'!$B$2:$B$127,$B15,'UAT Checklist'!$H$2:$H$127,"Blocked")</f>
        <v/>
      </c>
      <c r="H15" s="6">
        <f>COUNTIFS('UAT Checklist'!$B$2:$B$127,$B15,'UAT Checklist'!$H$2:$H$127,"N/A")</f>
        <v/>
      </c>
      <c r="I15" s="7">
        <f>IFERROR(E15/C15,0)</f>
        <v/>
      </c>
    </row>
    <row r="16">
      <c r="B16" s="6" t="inlineStr">
        <is>
          <t>Documents</t>
        </is>
      </c>
      <c r="C16" s="6">
        <f>COUNTIF('UAT Checklist'!$B$2:$B$127,$B16)</f>
        <v/>
      </c>
      <c r="D16" s="6">
        <f>COUNTIFS('UAT Checklist'!$B$2:$B$127,$B16,'UAT Checklist'!$H$2:$H$127,"Not Tested")</f>
        <v/>
      </c>
      <c r="E16" s="6">
        <f>COUNTIFS('UAT Checklist'!$B$2:$B$127,$B16,'UAT Checklist'!$H$2:$H$127,"Pass")</f>
        <v/>
      </c>
      <c r="F16" s="6">
        <f>COUNTIFS('UAT Checklist'!$B$2:$B$127,$B16,'UAT Checklist'!$H$2:$H$127,"Fail")</f>
        <v/>
      </c>
      <c r="G16" s="6">
        <f>COUNTIFS('UAT Checklist'!$B$2:$B$127,$B16,'UAT Checklist'!$H$2:$H$127,"Blocked")</f>
        <v/>
      </c>
      <c r="H16" s="6">
        <f>COUNTIFS('UAT Checklist'!$B$2:$B$127,$B16,'UAT Checklist'!$H$2:$H$127,"N/A")</f>
        <v/>
      </c>
      <c r="I16" s="7">
        <f>IFERROR(E16/C16,0)</f>
        <v/>
      </c>
    </row>
    <row r="17">
      <c r="B17" s="6" t="inlineStr">
        <is>
          <t>Activities</t>
        </is>
      </c>
      <c r="C17" s="6">
        <f>COUNTIF('UAT Checklist'!$B$2:$B$127,$B17)</f>
        <v/>
      </c>
      <c r="D17" s="6">
        <f>COUNTIFS('UAT Checklist'!$B$2:$B$127,$B17,'UAT Checklist'!$H$2:$H$127,"Not Tested")</f>
        <v/>
      </c>
      <c r="E17" s="6">
        <f>COUNTIFS('UAT Checklist'!$B$2:$B$127,$B17,'UAT Checklist'!$H$2:$H$127,"Pass")</f>
        <v/>
      </c>
      <c r="F17" s="6">
        <f>COUNTIFS('UAT Checklist'!$B$2:$B$127,$B17,'UAT Checklist'!$H$2:$H$127,"Fail")</f>
        <v/>
      </c>
      <c r="G17" s="6">
        <f>COUNTIFS('UAT Checklist'!$B$2:$B$127,$B17,'UAT Checklist'!$H$2:$H$127,"Blocked")</f>
        <v/>
      </c>
      <c r="H17" s="6">
        <f>COUNTIFS('UAT Checklist'!$B$2:$B$127,$B17,'UAT Checklist'!$H$2:$H$127,"N/A")</f>
        <v/>
      </c>
      <c r="I17" s="7">
        <f>IFERROR(E17/C17,0)</f>
        <v/>
      </c>
    </row>
    <row r="18">
      <c r="B18" s="6" t="inlineStr">
        <is>
          <t>Drop-in Bookings</t>
        </is>
      </c>
      <c r="C18" s="6">
        <f>COUNTIF('UAT Checklist'!$B$2:$B$127,$B18)</f>
        <v/>
      </c>
      <c r="D18" s="6">
        <f>COUNTIFS('UAT Checklist'!$B$2:$B$127,$B18,'UAT Checklist'!$H$2:$H$127,"Not Tested")</f>
        <v/>
      </c>
      <c r="E18" s="6">
        <f>COUNTIFS('UAT Checklist'!$B$2:$B$127,$B18,'UAT Checklist'!$H$2:$H$127,"Pass")</f>
        <v/>
      </c>
      <c r="F18" s="6">
        <f>COUNTIFS('UAT Checklist'!$B$2:$B$127,$B18,'UAT Checklist'!$H$2:$H$127,"Fail")</f>
        <v/>
      </c>
      <c r="G18" s="6">
        <f>COUNTIFS('UAT Checklist'!$B$2:$B$127,$B18,'UAT Checklist'!$H$2:$H$127,"Blocked")</f>
        <v/>
      </c>
      <c r="H18" s="6">
        <f>COUNTIFS('UAT Checklist'!$B$2:$B$127,$B18,'UAT Checklist'!$H$2:$H$127,"N/A")</f>
        <v/>
      </c>
      <c r="I18" s="7">
        <f>IFERROR(E18/C18,0)</f>
        <v/>
      </c>
    </row>
    <row r="19">
      <c r="B19" s="6" t="inlineStr">
        <is>
          <t>Billing - Daycare</t>
        </is>
      </c>
      <c r="C19" s="6">
        <f>COUNTIF('UAT Checklist'!$B$2:$B$127,$B19)</f>
        <v/>
      </c>
      <c r="D19" s="6">
        <f>COUNTIFS('UAT Checklist'!$B$2:$B$127,$B19,'UAT Checklist'!$H$2:$H$127,"Not Tested")</f>
        <v/>
      </c>
      <c r="E19" s="6">
        <f>COUNTIFS('UAT Checklist'!$B$2:$B$127,$B19,'UAT Checklist'!$H$2:$H$127,"Pass")</f>
        <v/>
      </c>
      <c r="F19" s="6">
        <f>COUNTIFS('UAT Checklist'!$B$2:$B$127,$B19,'UAT Checklist'!$H$2:$H$127,"Fail")</f>
        <v/>
      </c>
      <c r="G19" s="6">
        <f>COUNTIFS('UAT Checklist'!$B$2:$B$127,$B19,'UAT Checklist'!$H$2:$H$127,"Blocked")</f>
        <v/>
      </c>
      <c r="H19" s="6">
        <f>COUNTIFS('UAT Checklist'!$B$2:$B$127,$B19,'UAT Checklist'!$H$2:$H$127,"N/A")</f>
        <v/>
      </c>
      <c r="I19" s="7">
        <f>IFERROR(E19/C19,0)</f>
        <v/>
      </c>
    </row>
    <row r="20">
      <c r="B20" s="6" t="inlineStr">
        <is>
          <t>Therapy Wing Setup</t>
        </is>
      </c>
      <c r="C20" s="6">
        <f>COUNTIF('UAT Checklist'!$B$2:$B$127,$B20)</f>
        <v/>
      </c>
      <c r="D20" s="6">
        <f>COUNTIFS('UAT Checklist'!$B$2:$B$127,$B20,'UAT Checklist'!$H$2:$H$127,"Not Tested")</f>
        <v/>
      </c>
      <c r="E20" s="6">
        <f>COUNTIFS('UAT Checklist'!$B$2:$B$127,$B20,'UAT Checklist'!$H$2:$H$127,"Pass")</f>
        <v/>
      </c>
      <c r="F20" s="6">
        <f>COUNTIFS('UAT Checklist'!$B$2:$B$127,$B20,'UAT Checklist'!$H$2:$H$127,"Fail")</f>
        <v/>
      </c>
      <c r="G20" s="6">
        <f>COUNTIFS('UAT Checklist'!$B$2:$B$127,$B20,'UAT Checklist'!$H$2:$H$127,"Blocked")</f>
        <v/>
      </c>
      <c r="H20" s="6">
        <f>COUNTIFS('UAT Checklist'!$B$2:$B$127,$B20,'UAT Checklist'!$H$2:$H$127,"N/A")</f>
        <v/>
      </c>
      <c r="I20" s="7">
        <f>IFERROR(E20/C20,0)</f>
        <v/>
      </c>
    </row>
    <row r="21">
      <c r="B21" s="6" t="inlineStr">
        <is>
          <t>Therapy Sessions</t>
        </is>
      </c>
      <c r="C21" s="6">
        <f>COUNTIF('UAT Checklist'!$B$2:$B$127,$B21)</f>
        <v/>
      </c>
      <c r="D21" s="6">
        <f>COUNTIFS('UAT Checklist'!$B$2:$B$127,$B21,'UAT Checklist'!$H$2:$H$127,"Not Tested")</f>
        <v/>
      </c>
      <c r="E21" s="6">
        <f>COUNTIFS('UAT Checklist'!$B$2:$B$127,$B21,'UAT Checklist'!$H$2:$H$127,"Pass")</f>
        <v/>
      </c>
      <c r="F21" s="6">
        <f>COUNTIFS('UAT Checklist'!$B$2:$B$127,$B21,'UAT Checklist'!$H$2:$H$127,"Fail")</f>
        <v/>
      </c>
      <c r="G21" s="6">
        <f>COUNTIFS('UAT Checklist'!$B$2:$B$127,$B21,'UAT Checklist'!$H$2:$H$127,"Blocked")</f>
        <v/>
      </c>
      <c r="H21" s="6">
        <f>COUNTIFS('UAT Checklist'!$B$2:$B$127,$B21,'UAT Checklist'!$H$2:$H$127,"N/A")</f>
        <v/>
      </c>
      <c r="I21" s="7">
        <f>IFERROR(E21/C21,0)</f>
        <v/>
      </c>
    </row>
    <row r="22">
      <c r="B22" s="6" t="inlineStr">
        <is>
          <t>Therapy Packages</t>
        </is>
      </c>
      <c r="C22" s="6">
        <f>COUNTIF('UAT Checklist'!$B$2:$B$127,$B22)</f>
        <v/>
      </c>
      <c r="D22" s="6">
        <f>COUNTIFS('UAT Checklist'!$B$2:$B$127,$B22,'UAT Checklist'!$H$2:$H$127,"Not Tested")</f>
        <v/>
      </c>
      <c r="E22" s="6">
        <f>COUNTIFS('UAT Checklist'!$B$2:$B$127,$B22,'UAT Checklist'!$H$2:$H$127,"Pass")</f>
        <v/>
      </c>
      <c r="F22" s="6">
        <f>COUNTIFS('UAT Checklist'!$B$2:$B$127,$B22,'UAT Checklist'!$H$2:$H$127,"Fail")</f>
        <v/>
      </c>
      <c r="G22" s="6">
        <f>COUNTIFS('UAT Checklist'!$B$2:$B$127,$B22,'UAT Checklist'!$H$2:$H$127,"Blocked")</f>
        <v/>
      </c>
      <c r="H22" s="6">
        <f>COUNTIFS('UAT Checklist'!$B$2:$B$127,$B22,'UAT Checklist'!$H$2:$H$127,"N/A")</f>
        <v/>
      </c>
      <c r="I22" s="7">
        <f>IFERROR(E22/C22,0)</f>
        <v/>
      </c>
    </row>
    <row r="23">
      <c r="B23" s="6" t="inlineStr">
        <is>
          <t>Therapy Billing</t>
        </is>
      </c>
      <c r="C23" s="6">
        <f>COUNTIF('UAT Checklist'!$B$2:$B$127,$B23)</f>
        <v/>
      </c>
      <c r="D23" s="6">
        <f>COUNTIFS('UAT Checklist'!$B$2:$B$127,$B23,'UAT Checklist'!$H$2:$H$127,"Not Tested")</f>
        <v/>
      </c>
      <c r="E23" s="6">
        <f>COUNTIFS('UAT Checklist'!$B$2:$B$127,$B23,'UAT Checklist'!$H$2:$H$127,"Pass")</f>
        <v/>
      </c>
      <c r="F23" s="6">
        <f>COUNTIFS('UAT Checklist'!$B$2:$B$127,$B23,'UAT Checklist'!$H$2:$H$127,"Fail")</f>
        <v/>
      </c>
      <c r="G23" s="6">
        <f>COUNTIFS('UAT Checklist'!$B$2:$B$127,$B23,'UAT Checklist'!$H$2:$H$127,"Blocked")</f>
        <v/>
      </c>
      <c r="H23" s="6">
        <f>COUNTIFS('UAT Checklist'!$B$2:$B$127,$B23,'UAT Checklist'!$H$2:$H$127,"N/A")</f>
        <v/>
      </c>
      <c r="I23" s="7">
        <f>IFERROR(E23/C23,0)</f>
        <v/>
      </c>
    </row>
    <row r="24">
      <c r="B24" s="6" t="inlineStr">
        <is>
          <t>Reports</t>
        </is>
      </c>
      <c r="C24" s="6">
        <f>COUNTIF('UAT Checklist'!$B$2:$B$127,$B24)</f>
        <v/>
      </c>
      <c r="D24" s="6">
        <f>COUNTIFS('UAT Checklist'!$B$2:$B$127,$B24,'UAT Checklist'!$H$2:$H$127,"Not Tested")</f>
        <v/>
      </c>
      <c r="E24" s="6">
        <f>COUNTIFS('UAT Checklist'!$B$2:$B$127,$B24,'UAT Checklist'!$H$2:$H$127,"Pass")</f>
        <v/>
      </c>
      <c r="F24" s="6">
        <f>COUNTIFS('UAT Checklist'!$B$2:$B$127,$B24,'UAT Checklist'!$H$2:$H$127,"Fail")</f>
        <v/>
      </c>
      <c r="G24" s="6">
        <f>COUNTIFS('UAT Checklist'!$B$2:$B$127,$B24,'UAT Checklist'!$H$2:$H$127,"Blocked")</f>
        <v/>
      </c>
      <c r="H24" s="6">
        <f>COUNTIFS('UAT Checklist'!$B$2:$B$127,$B24,'UAT Checklist'!$H$2:$H$127,"N/A")</f>
        <v/>
      </c>
      <c r="I24" s="7">
        <f>IFERROR(E24/C24,0)</f>
        <v/>
      </c>
    </row>
    <row r="25">
      <c r="B25" s="6" t="inlineStr">
        <is>
          <t>Announcements</t>
        </is>
      </c>
      <c r="C25" s="6">
        <f>COUNTIF('UAT Checklist'!$B$2:$B$127,$B25)</f>
        <v/>
      </c>
      <c r="D25" s="6">
        <f>COUNTIFS('UAT Checklist'!$B$2:$B$127,$B25,'UAT Checklist'!$H$2:$H$127,"Not Tested")</f>
        <v/>
      </c>
      <c r="E25" s="6">
        <f>COUNTIFS('UAT Checklist'!$B$2:$B$127,$B25,'UAT Checklist'!$H$2:$H$127,"Pass")</f>
        <v/>
      </c>
      <c r="F25" s="6">
        <f>COUNTIFS('UAT Checklist'!$B$2:$B$127,$B25,'UAT Checklist'!$H$2:$H$127,"Fail")</f>
        <v/>
      </c>
      <c r="G25" s="6">
        <f>COUNTIFS('UAT Checklist'!$B$2:$B$127,$B25,'UAT Checklist'!$H$2:$H$127,"Blocked")</f>
        <v/>
      </c>
      <c r="H25" s="6">
        <f>COUNTIFS('UAT Checklist'!$B$2:$B$127,$B25,'UAT Checklist'!$H$2:$H$127,"N/A")</f>
        <v/>
      </c>
      <c r="I25" s="7">
        <f>IFERROR(E25/C25,0)</f>
        <v/>
      </c>
    </row>
    <row r="26">
      <c r="B26" s="6" t="inlineStr">
        <is>
          <t>Child Safety QR</t>
        </is>
      </c>
      <c r="C26" s="6">
        <f>COUNTIF('UAT Checklist'!$B$2:$B$127,$B26)</f>
        <v/>
      </c>
      <c r="D26" s="6">
        <f>COUNTIFS('UAT Checklist'!$B$2:$B$127,$B26,'UAT Checklist'!$H$2:$H$127,"Not Tested")</f>
        <v/>
      </c>
      <c r="E26" s="6">
        <f>COUNTIFS('UAT Checklist'!$B$2:$B$127,$B26,'UAT Checklist'!$H$2:$H$127,"Pass")</f>
        <v/>
      </c>
      <c r="F26" s="6">
        <f>COUNTIFS('UAT Checklist'!$B$2:$B$127,$B26,'UAT Checklist'!$H$2:$H$127,"Fail")</f>
        <v/>
      </c>
      <c r="G26" s="6">
        <f>COUNTIFS('UAT Checklist'!$B$2:$B$127,$B26,'UAT Checklist'!$H$2:$H$127,"Blocked")</f>
        <v/>
      </c>
      <c r="H26" s="6">
        <f>COUNTIFS('UAT Checklist'!$B$2:$B$127,$B26,'UAT Checklist'!$H$2:$H$127,"N/A")</f>
        <v/>
      </c>
      <c r="I26" s="7">
        <f>IFERROR(E26/C26,0)</f>
        <v/>
      </c>
    </row>
    <row r="27">
      <c r="B27" s="6" t="inlineStr">
        <is>
          <t>Security &amp; Non-Functional</t>
        </is>
      </c>
      <c r="C27" s="6">
        <f>COUNTIF('UAT Checklist'!$B$2:$B$127,$B27)</f>
        <v/>
      </c>
      <c r="D27" s="6">
        <f>COUNTIFS('UAT Checklist'!$B$2:$B$127,$B27,'UAT Checklist'!$H$2:$H$127,"Not Tested")</f>
        <v/>
      </c>
      <c r="E27" s="6">
        <f>COUNTIFS('UAT Checklist'!$B$2:$B$127,$B27,'UAT Checklist'!$H$2:$H$127,"Pass")</f>
        <v/>
      </c>
      <c r="F27" s="6">
        <f>COUNTIFS('UAT Checklist'!$B$2:$B$127,$B27,'UAT Checklist'!$H$2:$H$127,"Fail")</f>
        <v/>
      </c>
      <c r="G27" s="6">
        <f>COUNTIFS('UAT Checklist'!$B$2:$B$127,$B27,'UAT Checklist'!$H$2:$H$127,"Blocked")</f>
        <v/>
      </c>
      <c r="H27" s="6">
        <f>COUNTIFS('UAT Checklist'!$B$2:$B$127,$B27,'UAT Checklist'!$H$2:$H$127,"N/A")</f>
        <v/>
      </c>
      <c r="I27" s="7">
        <f>IFERROR(E27/C27,0)</f>
        <v/>
      </c>
    </row>
    <row r="28">
      <c r="B28" s="8" t="inlineStr">
        <is>
          <t>TOTAL</t>
        </is>
      </c>
      <c r="C28" s="8">
        <f>SUM(C6:C27)</f>
        <v/>
      </c>
      <c r="D28" s="8">
        <f>SUM(D6:D27)</f>
        <v/>
      </c>
      <c r="E28" s="8">
        <f>SUM(E6:E27)</f>
        <v/>
      </c>
      <c r="F28" s="8">
        <f>SUM(F6:F27)</f>
        <v/>
      </c>
      <c r="G28" s="8">
        <f>SUM(G6:G27)</f>
        <v/>
      </c>
      <c r="H28" s="8">
        <f>SUM(H6:H27)</f>
        <v/>
      </c>
      <c r="I28" s="9">
        <f>IFERROR(E28/C28,0)</f>
        <v/>
      </c>
    </row>
  </sheetData>
  <conditionalFormatting sqref="I6:I28">
    <cfRule type="colorScale" priority="2">
      <colorScale>
        <cfvo type="num" val="0"/>
        <cfvo type="num" val="0.5"/>
        <cfvo type="num" val="1"/>
        <color rgb="FFFCEBEB"/>
        <color rgb="FFFFF3CD"/>
        <color rgb="FFE1F5EE"/>
      </colorScale>
    </cfRule>
  </conditionalFormatting>
  <pageMargins left="0.75" right="0.75" top="1" bottom="1" header="0.511811023622047" footer="0.511811023622047"/>
  <pageSetup orientation="landscape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7"/>
  <sheetViews>
    <sheetView tabSelected="1" zoomScaleNormal="100" workbookViewId="0">
      <pane xSplit="3" ySplit="1" topLeftCell="E95" activePane="bottomRight" state="frozen"/>
      <selection pane="topRight" activeCell="D1" sqref="D1"/>
      <selection pane="bottomLeft" activeCell="A2" sqref="A2"/>
      <selection pane="bottomRight" activeCell="F127" sqref="F127"/>
    </sheetView>
  </sheetViews>
  <sheetFormatPr baseColWidth="8" defaultColWidth="8.6328125" defaultRowHeight="14.5"/>
  <cols>
    <col width="5" customWidth="1" min="1" max="1"/>
    <col width="20" customWidth="1" min="2" max="2"/>
    <col width="10" customWidth="1" min="3" max="3"/>
    <col width="28" customWidth="1" min="4" max="4"/>
    <col width="36.36328125" customWidth="1" min="5" max="5"/>
    <col width="28.81640625" customWidth="1" min="6" max="6"/>
    <col width="10" customWidth="1" min="7" max="7"/>
    <col width="13" customWidth="1" min="8" max="8"/>
    <col width="40.7265625" customWidth="1" min="9" max="9"/>
    <col width="14" customWidth="1" min="10" max="10"/>
    <col width="13" customWidth="1" min="11" max="11"/>
  </cols>
  <sheetData>
    <row r="1">
      <c r="A1" s="5" t="inlineStr">
        <is>
          <t>#</t>
        </is>
      </c>
      <c r="B1" s="5" t="inlineStr">
        <is>
          <t>Module</t>
        </is>
      </c>
      <c r="C1" s="5" t="inlineStr">
        <is>
          <t>Test ID</t>
        </is>
      </c>
      <c r="D1" s="5" t="inlineStr">
        <is>
          <t>Test Scenario</t>
        </is>
      </c>
      <c r="E1" s="5" t="inlineStr">
        <is>
          <t>Steps to Execute</t>
        </is>
      </c>
      <c r="F1" s="5" t="inlineStr">
        <is>
          <t>Expected Result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Actual Result / Comments</t>
        </is>
      </c>
      <c r="J1" s="5" t="inlineStr">
        <is>
          <t>Tested By</t>
        </is>
      </c>
      <c r="K1" s="5" t="inlineStr">
        <is>
          <t>Date Tested</t>
        </is>
      </c>
    </row>
    <row r="2" ht="45.75" customHeight="1">
      <c r="A2" s="10" t="n">
        <v>1</v>
      </c>
      <c r="B2" s="11" t="inlineStr">
        <is>
          <t>Authentication</t>
        </is>
      </c>
      <c r="C2" s="10" t="inlineStr">
        <is>
          <t>AUTH-01</t>
        </is>
      </c>
      <c r="D2" s="11" t="inlineStr">
        <is>
          <t>Parent self-registration</t>
        </is>
      </c>
      <c r="E2" s="11" t="inlineStr">
        <is>
          <t>1. Go to /register
2. Select role = Parent
3. Fill first/last name, email, phone, password
4. Submit</t>
        </is>
      </c>
      <c r="F2" s="11" t="inlineStr">
        <is>
          <t>New user created with role=parent; matching parents profile row created; user auto-logged in and redirected to dashboard</t>
        </is>
      </c>
      <c r="G2" s="10" t="inlineStr">
        <is>
          <t>High</t>
        </is>
      </c>
      <c r="H2" s="10" t="inlineStr">
        <is>
          <t>Pass</t>
        </is>
      </c>
      <c r="I2" s="11" t="n"/>
      <c r="J2" s="10" t="n"/>
      <c r="K2" s="10" t="n"/>
    </row>
    <row r="3" ht="45.75" customHeight="1">
      <c r="A3" s="10" t="n">
        <v>2</v>
      </c>
      <c r="B3" s="11" t="inlineStr">
        <is>
          <t>Authentication</t>
        </is>
      </c>
      <c r="C3" s="10" t="inlineStr">
        <is>
          <t>AUTH-02</t>
        </is>
      </c>
      <c r="D3" s="11" t="inlineStr">
        <is>
          <t>Staff self-registration</t>
        </is>
      </c>
      <c r="E3" s="11" t="inlineStr">
        <is>
          <t>1. Go to /register
2. Select role = Staff
3. Fill required fields
4. Submit</t>
        </is>
      </c>
      <c r="F3" s="11" t="inlineStr">
        <is>
          <t>staff profile row created with default role=teacher; redirected to dashboard</t>
        </is>
      </c>
      <c r="G3" s="10" t="inlineStr">
        <is>
          <t>High</t>
        </is>
      </c>
      <c r="H3" s="10" t="inlineStr">
        <is>
          <t>Pass</t>
        </is>
      </c>
      <c r="I3" s="11" t="n"/>
      <c r="J3" s="10" t="n"/>
      <c r="K3" s="10" t="n"/>
    </row>
    <row r="4" ht="45.75" customHeight="1">
      <c r="A4" s="10" t="n">
        <v>3</v>
      </c>
      <c r="B4" s="11" t="inlineStr">
        <is>
          <t>Authentication</t>
        </is>
      </c>
      <c r="C4" s="10" t="inlineStr">
        <is>
          <t>AUTH-03</t>
        </is>
      </c>
      <c r="D4" s="11" t="inlineStr">
        <is>
          <t>Duplicate email registration</t>
        </is>
      </c>
      <c r="E4" s="11" t="inlineStr">
        <is>
          <t>1. Register using an email already in the users table</t>
        </is>
      </c>
      <c r="F4" s="11" t="inlineStr">
        <is>
          <t>Validation error shown: email already taken; no duplicate row created</t>
        </is>
      </c>
      <c r="G4" s="10" t="inlineStr">
        <is>
          <t>Medium</t>
        </is>
      </c>
      <c r="H4" s="10" t="inlineStr">
        <is>
          <t>Pass</t>
        </is>
      </c>
      <c r="I4" s="11" t="n"/>
      <c r="J4" s="10" t="n"/>
      <c r="K4" s="10" t="n"/>
    </row>
    <row r="5" ht="45.75" customHeight="1">
      <c r="A5" s="10" t="n">
        <v>4</v>
      </c>
      <c r="B5" s="11" t="inlineStr">
        <is>
          <t>Authentication</t>
        </is>
      </c>
      <c r="C5" s="10" t="inlineStr">
        <is>
          <t>AUTH-04</t>
        </is>
      </c>
      <c r="D5" s="11" t="inlineStr">
        <is>
          <t>Successful login</t>
        </is>
      </c>
      <c r="E5" s="11" t="inlineStr">
        <is>
          <t>1. Go to /login
2. Enter correct email/password
3. Submit</t>
        </is>
      </c>
      <c r="F5" s="11" t="inlineStr">
        <is>
          <t>Redirected to dashboard; last_login timestamp updated; session established</t>
        </is>
      </c>
      <c r="G5" s="10" t="inlineStr">
        <is>
          <t>High</t>
        </is>
      </c>
      <c r="H5" s="10" t="inlineStr">
        <is>
          <t>Pass</t>
        </is>
      </c>
      <c r="I5" s="11" t="n"/>
      <c r="J5" s="10" t="n"/>
      <c r="K5" s="10" t="n"/>
    </row>
    <row r="6" ht="45.75" customHeight="1">
      <c r="A6" s="10" t="n">
        <v>5</v>
      </c>
      <c r="B6" s="11" t="inlineStr">
        <is>
          <t>Authentication</t>
        </is>
      </c>
      <c r="C6" s="10" t="inlineStr">
        <is>
          <t>AUTH-05</t>
        </is>
      </c>
      <c r="D6" s="11" t="inlineStr">
        <is>
          <t>Login with wrong password</t>
        </is>
      </c>
      <c r="E6" s="11" t="inlineStr">
        <is>
          <t>1. Enter correct email, incorrect password
2. Submit</t>
        </is>
      </c>
      <c r="F6" s="11" t="inlineStr">
        <is>
          <t>Error "credentials do not match" shown; rate limiter attempt count increases</t>
        </is>
      </c>
      <c r="G6" s="10" t="inlineStr">
        <is>
          <t>High</t>
        </is>
      </c>
      <c r="H6" s="10" t="inlineStr">
        <is>
          <t>Pass</t>
        </is>
      </c>
      <c r="I6" s="11" t="n"/>
      <c r="J6" s="10" t="n"/>
      <c r="K6" s="10" t="n"/>
    </row>
    <row r="7" ht="45.75" customHeight="1">
      <c r="A7" s="10" t="n">
        <v>6</v>
      </c>
      <c r="B7" s="11" t="inlineStr">
        <is>
          <t>Authentication</t>
        </is>
      </c>
      <c r="C7" s="10" t="inlineStr">
        <is>
          <t>AUTH-06</t>
        </is>
      </c>
      <c r="D7" s="11" t="inlineStr">
        <is>
          <t>Login lockout after repeated failures</t>
        </is>
      </c>
      <c r="E7" s="11" t="inlineStr">
        <is>
          <t>1. Attempt login with wrong password 5 times within a minute
2. Try a 6th time</t>
        </is>
      </c>
      <c r="F7" s="11" t="inlineStr">
        <is>
          <t>Locked out with a "too many attempts, try again in X seconds" message</t>
        </is>
      </c>
      <c r="G7" s="10" t="inlineStr">
        <is>
          <t>High</t>
        </is>
      </c>
      <c r="H7" s="10" t="inlineStr">
        <is>
          <t>Pass</t>
        </is>
      </c>
      <c r="I7" s="11" t="n"/>
      <c r="J7" s="10" t="n"/>
      <c r="K7" s="10" t="n"/>
    </row>
    <row r="8" ht="45.75" customHeight="1">
      <c r="A8" s="10" t="n">
        <v>7</v>
      </c>
      <c r="B8" s="11" t="inlineStr">
        <is>
          <t>Authentication</t>
        </is>
      </c>
      <c r="C8" s="10" t="inlineStr">
        <is>
          <t>AUTH-07</t>
        </is>
      </c>
      <c r="D8" s="11" t="inlineStr">
        <is>
          <t>Deactivated account login</t>
        </is>
      </c>
      <c r="E8" s="11" t="inlineStr">
        <is>
          <t>1. Admin sets a user's is_active = false
2. That user attempts to log in with correct credentials</t>
        </is>
      </c>
      <c r="F8" s="11" t="inlineStr">
        <is>
          <t>Login is immediately reversed; "account deactivated" message shown; user is logged out</t>
        </is>
      </c>
      <c r="G8" s="10" t="inlineStr">
        <is>
          <t>High</t>
        </is>
      </c>
      <c r="H8" s="10" t="inlineStr">
        <is>
          <t>Pass</t>
        </is>
      </c>
      <c r="I8" s="11" t="n"/>
      <c r="J8" s="10" t="n"/>
      <c r="K8" s="10" t="n"/>
    </row>
    <row r="9" ht="45.75" customHeight="1">
      <c r="A9" s="10" t="n">
        <v>8</v>
      </c>
      <c r="B9" s="11" t="inlineStr">
        <is>
          <t>Authentication</t>
        </is>
      </c>
      <c r="C9" s="10" t="inlineStr">
        <is>
          <t>AUTH-08</t>
        </is>
      </c>
      <c r="D9" s="11" t="inlineStr">
        <is>
          <t>Logout</t>
        </is>
      </c>
      <c r="E9" s="11" t="inlineStr">
        <is>
          <t>1. While logged in, click Logout</t>
        </is>
      </c>
      <c r="F9" s="11" t="inlineStr">
        <is>
          <t>Session invalidated and token regenerated; redirected to /login</t>
        </is>
      </c>
      <c r="G9" s="10" t="inlineStr">
        <is>
          <t>Medium</t>
        </is>
      </c>
      <c r="H9" s="10" t="inlineStr">
        <is>
          <t>Pass</t>
        </is>
      </c>
      <c r="I9" s="11" t="n"/>
      <c r="J9" s="10" t="n"/>
      <c r="K9" s="10" t="n"/>
    </row>
    <row r="10" ht="45.75" customHeight="1">
      <c r="A10" s="10" t="n">
        <v>9</v>
      </c>
      <c r="B10" s="11" t="inlineStr">
        <is>
          <t>Authentication</t>
        </is>
      </c>
      <c r="C10" s="10" t="inlineStr">
        <is>
          <t>AUTH-09</t>
        </is>
      </c>
      <c r="D10" s="11" t="inlineStr">
        <is>
          <t>Forgot password request</t>
        </is>
      </c>
      <c r="E10" s="11" t="inlineStr">
        <is>
          <t>1. Go to /forgot-password
2. Submit a registered email</t>
        </is>
      </c>
      <c r="F10" s="11" t="inlineStr">
        <is>
          <t>Reset link emailed; success status message shown</t>
        </is>
      </c>
      <c r="G10" s="10" t="inlineStr">
        <is>
          <t>Medium</t>
        </is>
      </c>
      <c r="H10" s="10" t="inlineStr">
        <is>
          <t>Not Tested</t>
        </is>
      </c>
      <c r="I10" s="11" t="n"/>
      <c r="J10" s="10" t="n"/>
      <c r="K10" s="10" t="n"/>
    </row>
    <row r="11" ht="45.75" customHeight="1">
      <c r="A11" s="10" t="n">
        <v>10</v>
      </c>
      <c r="B11" s="11" t="inlineStr">
        <is>
          <t>Authentication</t>
        </is>
      </c>
      <c r="C11" s="10" t="inlineStr">
        <is>
          <t>AUTH-10</t>
        </is>
      </c>
      <c r="D11" s="11" t="inlineStr">
        <is>
          <t>Reset password via emailed link</t>
        </is>
      </c>
      <c r="E11" s="11" t="inlineStr">
        <is>
          <t>1. Open the emailed reset link
2. Enter and confirm a new password
3. Submit</t>
        </is>
      </c>
      <c r="F11" s="11" t="inlineStr">
        <is>
          <t>Password updated; can log in with new password; old password no longer works</t>
        </is>
      </c>
      <c r="G11" s="10" t="inlineStr">
        <is>
          <t>Medium</t>
        </is>
      </c>
      <c r="H11" s="10" t="inlineStr">
        <is>
          <t>Not Tested</t>
        </is>
      </c>
      <c r="I11" s="11" t="n"/>
      <c r="J11" s="10" t="n"/>
      <c r="K11" s="10" t="n"/>
    </row>
    <row r="12" ht="45.75" customHeight="1">
      <c r="A12" s="10" t="n">
        <v>11</v>
      </c>
      <c r="B12" s="11" t="inlineStr">
        <is>
          <t>User Management</t>
        </is>
      </c>
      <c r="C12" s="10" t="inlineStr">
        <is>
          <t>USER-01</t>
        </is>
      </c>
      <c r="D12" s="11" t="inlineStr">
        <is>
          <t>Admin creates a parent account</t>
        </is>
      </c>
      <c r="E12" s="11" t="inlineStr">
        <is>
          <t>1. Login as admin
2. Go to Create User
3. Select role=Parent, fill fields, submit</t>
        </is>
      </c>
      <c r="F12" s="11" t="inlineStr">
        <is>
          <t>User + parents profile row created together in one transaction; Spatie parent role assigned</t>
        </is>
      </c>
      <c r="G12" s="10" t="inlineStr">
        <is>
          <t>High</t>
        </is>
      </c>
      <c r="H12" s="10" t="inlineStr">
        <is>
          <t>Pass</t>
        </is>
      </c>
      <c r="I12" s="11" t="n"/>
      <c r="J12" s="10" t="n"/>
      <c r="K12" s="10" t="n"/>
    </row>
    <row r="13" ht="45.75" customHeight="1">
      <c r="A13" s="10" t="n">
        <v>12</v>
      </c>
      <c r="B13" s="11" t="inlineStr">
        <is>
          <t>User Management</t>
        </is>
      </c>
      <c r="C13" s="10" t="inlineStr">
        <is>
          <t>USER-02</t>
        </is>
      </c>
      <c r="D13" s="11" t="inlineStr">
        <is>
          <t>Admin creates a staff account</t>
        </is>
      </c>
      <c r="E13" s="11" t="inlineStr">
        <is>
          <t>1. Same as USER-01 with role=Staff</t>
        </is>
      </c>
      <c r="F13" s="11" t="inlineStr">
        <is>
          <t>User + staff profile row created; Spatie staff role assigned</t>
        </is>
      </c>
      <c r="G13" s="10" t="inlineStr">
        <is>
          <t>High</t>
        </is>
      </c>
      <c r="H13" s="10" t="inlineStr">
        <is>
          <t>Pass</t>
        </is>
      </c>
      <c r="I13" s="11" t="n"/>
      <c r="J13" s="10" t="n"/>
      <c r="K13" s="10" t="n"/>
    </row>
    <row r="14" ht="45.75" customHeight="1">
      <c r="A14" s="10" t="n">
        <v>13</v>
      </c>
      <c r="B14" s="11" t="inlineStr">
        <is>
          <t>User Management</t>
        </is>
      </c>
      <c r="C14" s="10" t="inlineStr">
        <is>
          <t>USER-03</t>
        </is>
      </c>
      <c r="D14" s="11" t="inlineStr">
        <is>
          <t>Admin creates another admin account</t>
        </is>
      </c>
      <c r="E14" s="11" t="inlineStr">
        <is>
          <t>1. Same as USER-01 with role=Admin</t>
        </is>
      </c>
      <c r="F14" s="11" t="inlineStr">
        <is>
          <t>User row created with admin role; no profile table row required</t>
        </is>
      </c>
      <c r="G14" s="10" t="inlineStr">
        <is>
          <t>Medium</t>
        </is>
      </c>
      <c r="H14" s="10" t="inlineStr">
        <is>
          <t>Pass</t>
        </is>
      </c>
      <c r="I14" s="11" t="n"/>
      <c r="J14" s="10" t="n"/>
      <c r="K14" s="10" t="n"/>
    </row>
    <row r="15" ht="45.75" customHeight="1">
      <c r="A15" s="10" t="n">
        <v>14</v>
      </c>
      <c r="B15" s="11" t="inlineStr">
        <is>
          <t>User Management</t>
        </is>
      </c>
      <c r="C15" s="10" t="inlineStr">
        <is>
          <t>USER-04</t>
        </is>
      </c>
      <c r="D15" s="11" t="inlineStr">
        <is>
          <t>Non-admin blocked from user creation</t>
        </is>
      </c>
      <c r="E15" s="11" t="inlineStr">
        <is>
          <t>1. Login as staff or parent
2. Attempt to visit /users/create directly</t>
        </is>
      </c>
      <c r="F15" s="11" t="inlineStr">
        <is>
          <t>Access denied (403) or redirected away</t>
        </is>
      </c>
      <c r="G15" s="10" t="inlineStr">
        <is>
          <t>High</t>
        </is>
      </c>
      <c r="H15" s="10" t="inlineStr">
        <is>
          <t>Pass</t>
        </is>
      </c>
      <c r="I15" s="11" t="n"/>
      <c r="J15" s="10" t="n"/>
      <c r="K15" s="10" t="n"/>
    </row>
    <row r="16" ht="45.75" customHeight="1">
      <c r="A16" s="10" t="n">
        <v>15</v>
      </c>
      <c r="B16" s="11" t="inlineStr">
        <is>
          <t>Roles &amp; Permissions</t>
        </is>
      </c>
      <c r="C16" s="10" t="inlineStr">
        <is>
          <t>PERM-01</t>
        </is>
      </c>
      <c r="D16" s="11" t="inlineStr">
        <is>
          <t>Admin sees full sidebar</t>
        </is>
      </c>
      <c r="E16" s="11" t="inlineStr">
        <is>
          <t>1. Login as admin</t>
        </is>
      </c>
      <c r="F16" s="11" t="inlineStr">
        <is>
          <t>Every module (Programs, Children, Billing, Staff, Reports, Settings, etc.) appears in the sidebar</t>
        </is>
      </c>
      <c r="G16" s="10" t="inlineStr">
        <is>
          <t>Medium</t>
        </is>
      </c>
      <c r="H16" s="10" t="inlineStr">
        <is>
          <t>Pass</t>
        </is>
      </c>
      <c r="I16" s="11" t="n"/>
      <c r="J16" s="10" t="n"/>
      <c r="K16" s="10" t="n"/>
    </row>
    <row r="17" ht="45.75" customHeight="1">
      <c r="A17" s="10" t="n">
        <v>16</v>
      </c>
      <c r="B17" s="11" t="inlineStr">
        <is>
          <t>Roles &amp; Permissions</t>
        </is>
      </c>
      <c r="C17" s="10" t="inlineStr">
        <is>
          <t>PERM-02</t>
        </is>
      </c>
      <c r="D17" s="11" t="inlineStr">
        <is>
          <t>Staff sees operational-only sidebar</t>
        </is>
      </c>
      <c r="E17" s="11" t="inlineStr">
        <is>
          <t>1. Login as staff</t>
        </is>
      </c>
      <c r="F17" s="11" t="inlineStr">
        <is>
          <t>Staff mgmt, Reports, Settings hidden; operational items (Attendance, Daily Logs, Activities) visible</t>
        </is>
      </c>
      <c r="G17" s="10" t="inlineStr">
        <is>
          <t>High</t>
        </is>
      </c>
      <c r="H17" s="10" t="inlineStr">
        <is>
          <t>Pass</t>
        </is>
      </c>
      <c r="I17" s="11" t="n"/>
      <c r="J17" s="10" t="n"/>
      <c r="K17" s="10" t="n"/>
    </row>
    <row r="18" ht="45.75" customHeight="1">
      <c r="A18" s="10" t="n">
        <v>17</v>
      </c>
      <c r="B18" s="11" t="inlineStr">
        <is>
          <t>Roles &amp; Permissions</t>
        </is>
      </c>
      <c r="C18" s="10" t="inlineStr">
        <is>
          <t>PERM-03</t>
        </is>
      </c>
      <c r="D18" s="11" t="inlineStr">
        <is>
          <t>Parent sees read-only sidebar</t>
        </is>
      </c>
      <c r="E18" s="11" t="inlineStr">
        <is>
          <t>1. Login as parent</t>
        </is>
      </c>
      <c r="F18" s="11" t="inlineStr">
        <is>
          <t>Only view-permitted items appear (own children, invoices, announcements); no create/manage items shown</t>
        </is>
      </c>
      <c r="G18" s="10" t="inlineStr">
        <is>
          <t>High</t>
        </is>
      </c>
      <c r="H18" s="10" t="inlineStr">
        <is>
          <t>Pass</t>
        </is>
      </c>
      <c r="I18" s="11" t="n"/>
      <c r="J18" s="10" t="n"/>
      <c r="K18" s="10" t="n"/>
    </row>
    <row r="19" ht="45.75" customHeight="1">
      <c r="A19" s="10" t="n">
        <v>18</v>
      </c>
      <c r="B19" s="11" t="inlineStr">
        <is>
          <t>Roles &amp; Permissions</t>
        </is>
      </c>
      <c r="C19" s="10" t="inlineStr">
        <is>
          <t>PERM-04</t>
        </is>
      </c>
      <c r="D19" s="11" t="inlineStr">
        <is>
          <t>Menu item on an unbuilt route doesn't crash</t>
        </is>
      </c>
      <c r="E19" s="11" t="inlineStr">
        <is>
          <t>1. As admin, click a sidebar item still using a raw url (not yet a named route)</t>
        </is>
      </c>
      <c r="F19" s="11" t="inlineStr">
        <is>
          <t>Page loads (404 if controller isn't built); shared layout never throws a RouteNotFoundException</t>
        </is>
      </c>
      <c r="G19" s="10" t="inlineStr">
        <is>
          <t>Medium</t>
        </is>
      </c>
      <c r="H19" s="10" t="inlineStr">
        <is>
          <t>Pass</t>
        </is>
      </c>
      <c r="I19" s="11" t="n"/>
      <c r="J19" s="10" t="n"/>
      <c r="K19" s="10" t="n"/>
    </row>
    <row r="20" ht="45.75" customHeight="1">
      <c r="A20" s="10" t="n">
        <v>19</v>
      </c>
      <c r="B20" s="11" t="inlineStr">
        <is>
          <t>Roles &amp; Permissions</t>
        </is>
      </c>
      <c r="C20" s="10" t="inlineStr">
        <is>
          <t>PERM-05</t>
        </is>
      </c>
      <c r="D20" s="11" t="inlineStr">
        <is>
          <t>Revoking a permission updates the menu</t>
        </is>
      </c>
      <c r="E20" s="11" t="inlineStr">
        <is>
          <t>1. Remove a permission from the staff role
2. Log out and back in as a staff user</t>
        </is>
      </c>
      <c r="F20" s="11" t="inlineStr">
        <is>
          <t>The corresponding sidebar item is no longer visible</t>
        </is>
      </c>
      <c r="G20" s="10" t="inlineStr">
        <is>
          <t>Low</t>
        </is>
      </c>
      <c r="H20" s="10" t="inlineStr">
        <is>
          <t>Pass</t>
        </is>
      </c>
      <c r="I20" s="11" t="n"/>
      <c r="J20" s="10" t="n"/>
      <c r="K20" s="10" t="n"/>
    </row>
    <row r="21" ht="45.75" customHeight="1">
      <c r="A21" s="10" t="n">
        <v>20</v>
      </c>
      <c r="B21" s="11" t="inlineStr">
        <is>
          <t>Children Management</t>
        </is>
      </c>
      <c r="C21" s="10" t="inlineStr">
        <is>
          <t>CHILD-01</t>
        </is>
      </c>
      <c r="D21" s="11" t="inlineStr">
        <is>
          <t>Create a child links a guardian automatically</t>
        </is>
      </c>
      <c r="E21" s="11" t="inlineStr">
        <is>
          <t>1. Admin/staff creates a new child under a parent</t>
        </is>
      </c>
      <c r="F21" s="11" t="inlineStr">
        <is>
          <t>A guardian_child row is auto-created linking the billing parent, accepted_at set, access_level=full</t>
        </is>
      </c>
      <c r="G21" s="10" t="inlineStr">
        <is>
          <t>High</t>
        </is>
      </c>
      <c r="H21" s="10" t="inlineStr">
        <is>
          <t>Pass</t>
        </is>
      </c>
      <c r="I21" s="11" t="inlineStr">
        <is>
          <t>User View Needed</t>
        </is>
      </c>
      <c r="J21" s="10" t="n"/>
      <c r="K21" s="10" t="n"/>
    </row>
    <row r="22" ht="45.75" customHeight="1">
      <c r="A22" s="10" t="n">
        <v>21</v>
      </c>
      <c r="B22" s="11" t="inlineStr">
        <is>
          <t>Children Management</t>
        </is>
      </c>
      <c r="C22" s="10" t="inlineStr">
        <is>
          <t>CHILD-02</t>
        </is>
      </c>
      <c r="D22" s="11" t="inlineStr">
        <is>
          <t>Parent sees only their own children</t>
        </is>
      </c>
      <c r="E22" s="11" t="inlineStr">
        <is>
          <t>1. Login as a parent with 1+ children
2. Go to Children index</t>
        </is>
      </c>
      <c r="F22" s="11" t="inlineStr">
        <is>
          <t>Only that parent's linked children appear; no other family's children</t>
        </is>
      </c>
      <c r="G22" s="10" t="inlineStr">
        <is>
          <t>High</t>
        </is>
      </c>
      <c r="H22" s="10" t="inlineStr">
        <is>
          <t>Pass</t>
        </is>
      </c>
      <c r="I22" s="11" t="n"/>
      <c r="J22" s="10" t="n"/>
      <c r="K22" s="10" t="n"/>
    </row>
    <row r="23" ht="45.75" customHeight="1">
      <c r="A23" s="10" t="n">
        <v>22</v>
      </c>
      <c r="B23" s="11" t="inlineStr">
        <is>
          <t>Children Management</t>
        </is>
      </c>
      <c r="C23" s="10" t="inlineStr">
        <is>
          <t>CHILD-03</t>
        </is>
      </c>
      <c r="D23" s="11" t="inlineStr">
        <is>
          <t>Parent blocked from another family's child</t>
        </is>
      </c>
      <c r="E23" s="11" t="inlineStr">
        <is>
          <t>1. As a parent, note another family's child ID
2. Visit /children/{id} directly</t>
        </is>
      </c>
      <c r="F23" s="11" t="inlineStr">
        <is>
          <t>403 Forbidden — ChildPolicy blocks it</t>
        </is>
      </c>
      <c r="G23" s="10" t="inlineStr">
        <is>
          <t>High</t>
        </is>
      </c>
      <c r="H23" s="10" t="inlineStr">
        <is>
          <t>Pass</t>
        </is>
      </c>
      <c r="I23" s="11" t="inlineStr">
        <is>
          <t>Child View Needed</t>
        </is>
      </c>
      <c r="J23" s="10" t="n"/>
      <c r="K23" s="10" t="n"/>
    </row>
    <row r="24" ht="45.75" customHeight="1">
      <c r="A24" s="10" t="n">
        <v>23</v>
      </c>
      <c r="B24" s="11" t="inlineStr">
        <is>
          <t>Children Management</t>
        </is>
      </c>
      <c r="C24" s="10" t="inlineStr">
        <is>
          <t>CHILD-04</t>
        </is>
      </c>
      <c r="D24" s="11" t="inlineStr">
        <is>
          <t>Staff sees all active children</t>
        </is>
      </c>
      <c r="E24" s="11" t="inlineStr">
        <is>
          <t>1. Login as staff
2. Go to Children index</t>
        </is>
      </c>
      <c r="F24" s="11" t="inlineStr">
        <is>
          <t>All is_active=true children appear regardless of family</t>
        </is>
      </c>
      <c r="G24" s="10" t="inlineStr">
        <is>
          <t>Medium</t>
        </is>
      </c>
      <c r="H24" s="10" t="inlineStr">
        <is>
          <t>Pass</t>
        </is>
      </c>
      <c r="I24" s="11" t="n"/>
      <c r="J24" s="10" t="n"/>
      <c r="K24" s="10" t="n"/>
    </row>
    <row r="25" ht="45.75" customHeight="1">
      <c r="A25" s="10" t="n">
        <v>24</v>
      </c>
      <c r="B25" s="11" t="inlineStr">
        <is>
          <t>Children Management</t>
        </is>
      </c>
      <c r="C25" s="10" t="inlineStr">
        <is>
          <t>CHILD-05</t>
        </is>
      </c>
      <c r="D25" s="11" t="inlineStr">
        <is>
          <t>Edit a child record</t>
        </is>
      </c>
      <c r="E25" s="11" t="inlineStr">
        <is>
          <t>1. Admin/staff opens a child
2. Updates a field (e.g. allergies)
3. Saves</t>
        </is>
      </c>
      <c r="F25" s="11" t="inlineStr">
        <is>
          <t>Update persists and displays correctly on reload</t>
        </is>
      </c>
      <c r="G25" s="10" t="inlineStr">
        <is>
          <t>Medium</t>
        </is>
      </c>
      <c r="H25" s="10" t="inlineStr">
        <is>
          <t>Pass</t>
        </is>
      </c>
      <c r="I25" s="11" t="n"/>
      <c r="J25" s="10" t="n"/>
      <c r="K25" s="10" t="n"/>
    </row>
    <row r="26" ht="45.75" customHeight="1">
      <c r="A26" s="10" t="n">
        <v>25</v>
      </c>
      <c r="B26" s="11" t="inlineStr">
        <is>
          <t>Children Management</t>
        </is>
      </c>
      <c r="C26" s="10" t="inlineStr">
        <is>
          <t>CHILD-06</t>
        </is>
      </c>
      <c r="D26" s="11" t="inlineStr">
        <is>
          <t>View-only guardian blocked from editing</t>
        </is>
      </c>
      <c r="E26" s="11" t="inlineStr">
        <is>
          <t>1. A guardian with access_level=view_only attempts to edit the child</t>
        </is>
      </c>
      <c r="F26" s="11" t="inlineStr">
        <is>
          <t>Edit action is blocked by policy</t>
        </is>
      </c>
      <c r="G26" s="10" t="inlineStr">
        <is>
          <t>High</t>
        </is>
      </c>
      <c r="H26" s="10" t="inlineStr">
        <is>
          <t>Pass</t>
        </is>
      </c>
      <c r="I26" s="11" t="n"/>
      <c r="J26" s="10" t="n"/>
      <c r="K26" s="10" t="n"/>
    </row>
    <row r="27" ht="45.75" customHeight="1">
      <c r="A27" s="10" t="n">
        <v>26</v>
      </c>
      <c r="B27" s="11" t="inlineStr">
        <is>
          <t>Children Management</t>
        </is>
      </c>
      <c r="C27" s="10" t="inlineStr">
        <is>
          <t>CHILD-07</t>
        </is>
      </c>
      <c r="D27" s="11" t="inlineStr">
        <is>
          <t>Deactivate a child (soft delete)</t>
        </is>
      </c>
      <c r="E27" s="11" t="inlineStr">
        <is>
          <t>1. Admin deactivates a child</t>
        </is>
      </c>
      <c r="F27" s="11" t="inlineStr">
        <is>
          <t>is_active becomes false; attendance/billing history remains intact, not deleted</t>
        </is>
      </c>
      <c r="G27" s="10" t="inlineStr">
        <is>
          <t>High</t>
        </is>
      </c>
      <c r="H27" s="10" t="inlineStr">
        <is>
          <t>Pass</t>
        </is>
      </c>
      <c r="I27" s="11" t="n"/>
      <c r="J27" s="10" t="n"/>
      <c r="K27" s="10" t="n"/>
    </row>
    <row r="28" ht="45.75" customHeight="1">
      <c r="A28" s="10" t="n">
        <v>27</v>
      </c>
      <c r="B28" s="11" t="inlineStr">
        <is>
          <t>Children Management</t>
        </is>
      </c>
      <c r="C28" s="10" t="inlineStr">
        <is>
          <t>CHILD-08</t>
        </is>
      </c>
      <c r="D28" s="11" t="inlineStr">
        <is>
          <t>Emergency contact fields save correctly</t>
        </is>
      </c>
      <c r="E28" s="11" t="inlineStr">
        <is>
          <t>1. Fill ec_name, ec_relationship, ec_phone, ec_authorized_pickup
2. Save and reopen</t>
        </is>
      </c>
      <c r="F28" s="11" t="inlineStr">
        <is>
          <t>All four fields display exactly as entered</t>
        </is>
      </c>
      <c r="G28" s="10" t="inlineStr">
        <is>
          <t>Medium</t>
        </is>
      </c>
      <c r="H28" s="10" t="inlineStr">
        <is>
          <t>Pass</t>
        </is>
      </c>
      <c r="I28" s="11" t="n"/>
      <c r="J28" s="10" t="n"/>
      <c r="K28" s="10" t="n"/>
    </row>
    <row r="29" ht="45.75" customHeight="1">
      <c r="A29" s="10" t="n">
        <v>28</v>
      </c>
      <c r="B29" s="11" t="inlineStr">
        <is>
          <t>Guardian-Child Access</t>
        </is>
      </c>
      <c r="C29" s="10" t="inlineStr">
        <is>
          <t>GUARD-01</t>
        </is>
      </c>
      <c r="D29" s="11" t="inlineStr">
        <is>
          <t>Pending guardian invite has no access yet</t>
        </is>
      </c>
      <c r="E29" s="11" t="inlineStr">
        <is>
          <t>1. Add a second guardian to a child with accepted_at left null</t>
        </is>
      </c>
      <c r="F29" s="11" t="inlineStr">
        <is>
          <t>That guardian cannot see the child in their account yet</t>
        </is>
      </c>
      <c r="G29" s="10" t="inlineStr">
        <is>
          <t>High</t>
        </is>
      </c>
      <c r="H29" s="10" t="inlineStr">
        <is>
          <t>Not Tested</t>
        </is>
      </c>
      <c r="I29" s="11" t="n"/>
      <c r="J29" s="10" t="n"/>
      <c r="K29" s="10" t="n"/>
    </row>
    <row r="30" ht="45.75" customHeight="1">
      <c r="A30" s="10" t="n">
        <v>29</v>
      </c>
      <c r="B30" s="11" t="inlineStr">
        <is>
          <t>Guardian-Child Access</t>
        </is>
      </c>
      <c r="C30" s="10" t="inlineStr">
        <is>
          <t>GUARD-02</t>
        </is>
      </c>
      <c r="D30" s="11" t="inlineStr">
        <is>
          <t>Accepted guardian gains access</t>
        </is>
      </c>
      <c r="E30" s="11" t="inlineStr">
        <is>
          <t>1. Set accepted_at on that guardian_child row (simulating acceptance)</t>
        </is>
      </c>
      <c r="F30" s="11" t="inlineStr">
        <is>
          <t>The guardian can now view the child</t>
        </is>
      </c>
      <c r="G30" s="10" t="inlineStr">
        <is>
          <t>High</t>
        </is>
      </c>
      <c r="H30" s="10" t="inlineStr">
        <is>
          <t>Not Tested</t>
        </is>
      </c>
      <c r="I30" s="11" t="n"/>
      <c r="J30" s="10" t="n"/>
      <c r="K30" s="10" t="n"/>
    </row>
    <row r="31" ht="45.75" customHeight="1">
      <c r="A31" s="10" t="n">
        <v>30</v>
      </c>
      <c r="B31" s="11" t="inlineStr">
        <is>
          <t>Guardian-Child Access</t>
        </is>
      </c>
      <c r="C31" s="10" t="inlineStr">
        <is>
          <t>GUARD-03</t>
        </is>
      </c>
      <c r="D31" s="11" t="inlineStr">
        <is>
          <t>can_pickup flag reflected correctly</t>
        </is>
      </c>
      <c r="E31" s="11" t="inlineStr">
        <is>
          <t>1. Set can_pickup=false for a guardian
2. Check wherever pickup authorization is displayed</t>
        </is>
      </c>
      <c r="F31" s="11" t="inlineStr">
        <is>
          <t>Correctly shown as not authorized for pickup</t>
        </is>
      </c>
      <c r="G31" s="10" t="inlineStr">
        <is>
          <t>Medium</t>
        </is>
      </c>
      <c r="H31" s="10" t="inlineStr">
        <is>
          <t>Not Tested</t>
        </is>
      </c>
      <c r="I31" s="11" t="inlineStr">
        <is>
          <t>authorized for pickup - not showing</t>
        </is>
      </c>
      <c r="J31" s="10" t="n"/>
      <c r="K31" s="10" t="n"/>
    </row>
    <row r="32" ht="45.75" customHeight="1">
      <c r="A32" s="10" t="n">
        <v>31</v>
      </c>
      <c r="B32" s="11" t="inlineStr">
        <is>
          <t>Guardian-Child Access</t>
        </is>
      </c>
      <c r="C32" s="10" t="inlineStr">
        <is>
          <t>GUARD-04</t>
        </is>
      </c>
      <c r="D32" s="11" t="inlineStr">
        <is>
          <t>Primary guardian flag is accurate</t>
        </is>
      </c>
      <c r="E32" s="11" t="inlineStr">
        <is>
          <t>1. Check is_primary on the auto-created guardian_child row from CHILD-01</t>
        </is>
      </c>
      <c r="F32" s="11" t="inlineStr">
        <is>
          <t>The billing parent is marked is_primary=true</t>
        </is>
      </c>
      <c r="G32" s="10" t="inlineStr">
        <is>
          <t>Low</t>
        </is>
      </c>
      <c r="H32" s="10" t="inlineStr">
        <is>
          <t>Not Tested</t>
        </is>
      </c>
      <c r="I32" s="11" t="inlineStr">
        <is>
          <t>is_primary=true not marked in parent list</t>
        </is>
      </c>
      <c r="J32" s="10" t="n"/>
      <c r="K32" s="10" t="n"/>
    </row>
    <row r="33" ht="45.75" customHeight="1">
      <c r="A33" s="10" t="n">
        <v>32</v>
      </c>
      <c r="B33" s="11" t="inlineStr">
        <is>
          <t>Programs</t>
        </is>
      </c>
      <c r="C33" s="10" t="inlineStr">
        <is>
          <t>PROG-01</t>
        </is>
      </c>
      <c r="D33" s="11" t="inlineStr">
        <is>
          <t>Create a new program</t>
        </is>
      </c>
      <c r="E33" s="11" t="inlineStr">
        <is>
          <t>1. Admin creates a program with name, age range, capacity, billing model</t>
        </is>
      </c>
      <c r="F33" s="11" t="inlineStr">
        <is>
          <t>Program saved and appears in the catalog</t>
        </is>
      </c>
      <c r="G33" s="10" t="inlineStr">
        <is>
          <t>Medium</t>
        </is>
      </c>
      <c r="H33" s="10" t="inlineStr">
        <is>
          <t>Pass</t>
        </is>
      </c>
      <c r="I33" s="11" t="n"/>
      <c r="J33" s="10" t="n"/>
      <c r="K33" s="10" t="n"/>
    </row>
    <row r="34" ht="45.75" customHeight="1">
      <c r="A34" s="10" t="n">
        <v>33</v>
      </c>
      <c r="B34" s="11" t="inlineStr">
        <is>
          <t>Programs</t>
        </is>
      </c>
      <c r="C34" s="10" t="inlineStr">
        <is>
          <t>PROG-02</t>
        </is>
      </c>
      <c r="D34" s="11" t="inlineStr">
        <is>
          <t>State-funded program shows $0 fee</t>
        </is>
      </c>
      <c r="E34" s="11" t="inlineStr">
        <is>
          <t>1. Create/view a program with billing_model=state_funded</t>
        </is>
      </c>
      <c r="F34" s="11" t="inlineStr">
        <is>
          <t>monthly_fee displays as $0 / not applicable</t>
        </is>
      </c>
      <c r="G34" s="10" t="inlineStr">
        <is>
          <t>Medium</t>
        </is>
      </c>
      <c r="H34" s="10" t="inlineStr">
        <is>
          <t>N/A</t>
        </is>
      </c>
      <c r="I34" s="11" t="n"/>
      <c r="J34" s="10" t="n"/>
      <c r="K34" s="10" t="n"/>
    </row>
    <row r="35" ht="45.75" customHeight="1">
      <c r="A35" s="10" t="n">
        <v>34</v>
      </c>
      <c r="B35" s="11" t="inlineStr">
        <is>
          <t>Programs</t>
        </is>
      </c>
      <c r="C35" s="10" t="inlineStr">
        <is>
          <t>PROG-03</t>
        </is>
      </c>
      <c r="D35" s="11" t="inlineStr">
        <is>
          <t>Deactivated program hidden from enrollment</t>
        </is>
      </c>
      <c r="E35" s="11" t="inlineStr">
        <is>
          <t>1. Set a program's is_active=false
2. Start a new enrollment</t>
        </is>
      </c>
      <c r="F35" s="11" t="inlineStr">
        <is>
          <t>That program no longer appears as a selectable option</t>
        </is>
      </c>
      <c r="G35" s="10" t="inlineStr">
        <is>
          <t>Medium</t>
        </is>
      </c>
      <c r="H35" s="10" t="inlineStr">
        <is>
          <t>Pass</t>
        </is>
      </c>
      <c r="I35" s="11" t="n"/>
      <c r="J35" s="10" t="n"/>
      <c r="K35" s="10" t="n"/>
    </row>
    <row r="36" ht="45.75" customHeight="1">
      <c r="A36" s="10" t="n">
        <v>35</v>
      </c>
      <c r="B36" s="11" t="inlineStr">
        <is>
          <t>Programs</t>
        </is>
      </c>
      <c r="C36" s="10" t="inlineStr">
        <is>
          <t>PROG-04</t>
        </is>
      </c>
      <c r="D36" s="11" t="inlineStr">
        <is>
          <t>Drop-in program uses daily_rate</t>
        </is>
      </c>
      <c r="E36" s="11" t="inlineStr">
        <is>
          <t>1. Create a program with service_type=drop_in</t>
        </is>
      </c>
      <c r="F36" s="11" t="inlineStr">
        <is>
          <t>daily_rate field is used/required; monthly_fee stays empty</t>
        </is>
      </c>
      <c r="G36" s="10" t="inlineStr">
        <is>
          <t>Medium</t>
        </is>
      </c>
      <c r="H36" s="10" t="inlineStr">
        <is>
          <t>Fail</t>
        </is>
      </c>
      <c r="I36" s="11" t="n"/>
      <c r="J36" s="10" t="n"/>
      <c r="K36" s="10" t="n"/>
    </row>
    <row r="37" ht="45.75" customHeight="1">
      <c r="A37" s="10" t="n">
        <v>36</v>
      </c>
      <c r="B37" s="11" t="inlineStr">
        <is>
          <t>Programs</t>
        </is>
      </c>
      <c r="C37" s="10" t="inlineStr">
        <is>
          <t>PROG-05</t>
        </is>
      </c>
      <c r="D37" s="11" t="inlineStr">
        <is>
          <t>Non-admin blocked from managing programs</t>
        </is>
      </c>
      <c r="E37" s="11" t="inlineStr">
        <is>
          <t>1. Login as staff or parent
2. Attempt to create/edit a program</t>
        </is>
      </c>
      <c r="F37" s="11" t="inlineStr">
        <is>
          <t>Access denied</t>
        </is>
      </c>
      <c r="G37" s="10" t="inlineStr">
        <is>
          <t>High</t>
        </is>
      </c>
      <c r="H37" s="10" t="inlineStr">
        <is>
          <t>Pass</t>
        </is>
      </c>
      <c r="I37" s="11" t="n"/>
      <c r="J37" s="10" t="n"/>
      <c r="K37" s="10" t="n"/>
    </row>
    <row r="38" ht="45.75" customHeight="1">
      <c r="A38" s="10" t="n">
        <v>37</v>
      </c>
      <c r="B38" s="11" t="inlineStr">
        <is>
          <t>Enrollments</t>
        </is>
      </c>
      <c r="C38" s="10" t="inlineStr">
        <is>
          <t>ENR-01</t>
        </is>
      </c>
      <c r="D38" s="11" t="inlineStr">
        <is>
          <t>Enroll within age range succeeds</t>
        </is>
      </c>
      <c r="E38" s="11" t="inlineStr">
        <is>
          <t>1. Enroll a child whose age fits the program's min/max_age_months</t>
        </is>
      </c>
      <c r="F38" s="11" t="inlineStr">
        <is>
          <t>Enrollment created with status=pending or active</t>
        </is>
      </c>
      <c r="G38" s="10" t="inlineStr">
        <is>
          <t>High</t>
        </is>
      </c>
      <c r="H38" s="10" t="inlineStr">
        <is>
          <t>Pass</t>
        </is>
      </c>
      <c r="I38" s="11" t="n"/>
      <c r="J38" s="10" t="n"/>
      <c r="K38" s="10" t="n"/>
    </row>
    <row r="39" ht="45.75" customHeight="1">
      <c r="A39" s="10" t="n">
        <v>38</v>
      </c>
      <c r="B39" s="11" t="inlineStr">
        <is>
          <t>Enrollments</t>
        </is>
      </c>
      <c r="C39" s="10" t="inlineStr">
        <is>
          <t>ENR-02</t>
        </is>
      </c>
      <c r="D39" s="11" t="inlineStr">
        <is>
          <t>Enroll outside age range blocked</t>
        </is>
      </c>
      <c r="E39" s="11" t="inlineStr">
        <is>
          <t>1. Attempt to enroll a child outside the program's age range</t>
        </is>
      </c>
      <c r="F39" s="11" t="inlineStr">
        <is>
          <t>Validation/business rule blocks it with a clear message</t>
        </is>
      </c>
      <c r="G39" s="10" t="inlineStr">
        <is>
          <t>High</t>
        </is>
      </c>
      <c r="H39" s="10" t="inlineStr">
        <is>
          <t>Pass</t>
        </is>
      </c>
      <c r="I39" s="11" t="inlineStr">
        <is>
          <t>It checks enrollment start date, not the child age on today -  I think it is ok.</t>
        </is>
      </c>
      <c r="J39" s="10" t="n"/>
      <c r="K39" s="10" t="n"/>
    </row>
    <row r="40" ht="45.75" customHeight="1">
      <c r="A40" s="10" t="n">
        <v>39</v>
      </c>
      <c r="B40" s="11" t="inlineStr">
        <is>
          <t>Enrollments</t>
        </is>
      </c>
      <c r="C40" s="10" t="inlineStr">
        <is>
          <t>ENR-03</t>
        </is>
      </c>
      <c r="D40" s="11" t="inlineStr">
        <is>
          <t>Enrollment at full capacity goes to waitlist</t>
        </is>
      </c>
      <c r="E40" s="11" t="inlineStr">
        <is>
          <t>1. Enroll into a program already at its capacity limit</t>
        </is>
      </c>
      <c r="F40" s="11" t="inlineStr">
        <is>
          <t>Child is routed to the waitlist instead of being enrolled</t>
        </is>
      </c>
      <c r="G40" s="10" t="inlineStr">
        <is>
          <t>High</t>
        </is>
      </c>
      <c r="H40" s="10" t="inlineStr">
        <is>
          <t>Pass</t>
        </is>
      </c>
      <c r="I40" s="11" t="inlineStr">
        <is>
          <t>It is not allowing to enroll which is right.</t>
        </is>
      </c>
      <c r="J40" s="10" t="n"/>
      <c r="K40" s="10" t="n"/>
    </row>
    <row r="41" ht="45.75" customHeight="1">
      <c r="A41" s="10" t="n">
        <v>40</v>
      </c>
      <c r="B41" s="11" t="inlineStr">
        <is>
          <t>Enrollments</t>
        </is>
      </c>
      <c r="C41" s="10" t="inlineStr">
        <is>
          <t>ENR-04</t>
        </is>
      </c>
      <c r="D41" s="11" t="inlineStr">
        <is>
          <t>Status progression</t>
        </is>
      </c>
      <c r="E41" s="11" t="inlineStr">
        <is>
          <t>1. Move an enrollment from pending → approved → active</t>
        </is>
      </c>
      <c r="F41" s="11" t="inlineStr">
        <is>
          <t>Each transition saves correctly; approved_at/approved_by populate on approval</t>
        </is>
      </c>
      <c r="G41" s="10" t="inlineStr">
        <is>
          <t>Medium</t>
        </is>
      </c>
      <c r="H41" s="10" t="inlineStr">
        <is>
          <t>Pass</t>
        </is>
      </c>
      <c r="I41" s="11" t="inlineStr">
        <is>
          <t>Only Pending and Active status are there.</t>
        </is>
      </c>
      <c r="J41" s="10" t="n"/>
      <c r="K41" s="10" t="n"/>
    </row>
    <row r="42" ht="45.75" customHeight="1">
      <c r="A42" s="10" t="n">
        <v>41</v>
      </c>
      <c r="B42" s="11" t="inlineStr">
        <is>
          <t>Enrollments</t>
        </is>
      </c>
      <c r="C42" s="10" t="inlineStr">
        <is>
          <t>ENR-05</t>
        </is>
      </c>
      <c r="D42" s="11" t="inlineStr">
        <is>
          <t>Withdraw an active enrollment</t>
        </is>
      </c>
      <c r="E42" s="11" t="inlineStr">
        <is>
          <t>1. Withdraw a currently active enrollment</t>
        </is>
      </c>
      <c r="F42" s="11" t="inlineStr">
        <is>
          <t>status becomes withdrawn; end_date is recorded</t>
        </is>
      </c>
      <c r="G42" s="10" t="inlineStr">
        <is>
          <t>Medium</t>
        </is>
      </c>
      <c r="H42" s="10" t="inlineStr">
        <is>
          <t>Pass</t>
        </is>
      </c>
      <c r="I42" s="11" t="n"/>
      <c r="J42" s="10" t="n"/>
      <c r="K42" s="10" t="n"/>
    </row>
    <row r="43" ht="45.75" customHeight="1">
      <c r="A43" s="10" t="n">
        <v>42</v>
      </c>
      <c r="B43" s="11" t="inlineStr">
        <is>
          <t>Enrollments</t>
        </is>
      </c>
      <c r="C43" s="10" t="inlineStr">
        <is>
          <t>ENR-06</t>
        </is>
      </c>
      <c r="D43" s="11" t="inlineStr">
        <is>
          <t>enrolled_by is recorded</t>
        </is>
      </c>
      <c r="E43" s="11" t="inlineStr">
        <is>
          <t>1. Submit a new enrollment as a specific admin/staff user</t>
        </is>
      </c>
      <c r="F43" s="11" t="inlineStr">
        <is>
          <t>enrolled_by correctly stores that user's ID</t>
        </is>
      </c>
      <c r="G43" s="10" t="inlineStr">
        <is>
          <t>Low</t>
        </is>
      </c>
      <c r="H43" s="10" t="inlineStr">
        <is>
          <t>Pass</t>
        </is>
      </c>
      <c r="I43" s="11" t="n"/>
      <c r="J43" s="10" t="n"/>
      <c r="K43" s="10" t="n"/>
    </row>
    <row r="44" ht="50" customHeight="1">
      <c r="A44" s="10" t="n">
        <v>43</v>
      </c>
      <c r="B44" s="11" t="inlineStr">
        <is>
          <t>Waitlist</t>
        </is>
      </c>
      <c r="C44" s="10" t="inlineStr">
        <is>
          <t>WAIT-01</t>
        </is>
      </c>
      <c r="D44" s="11" t="inlineStr">
        <is>
          <t>Waitlist position assigned</t>
        </is>
      </c>
      <c r="E44" s="11" t="inlineStr">
        <is>
          <t>1. Add a child to a full program's waitlist</t>
        </is>
      </c>
      <c r="F44" s="11" t="inlineStr">
        <is>
          <t>A position number is assigned (e.g. next available)</t>
        </is>
      </c>
      <c r="G44" s="10" t="inlineStr">
        <is>
          <t>Medium</t>
        </is>
      </c>
      <c r="H44" s="10" t="inlineStr">
        <is>
          <t>N/A</t>
        </is>
      </c>
      <c r="I44" s="11" t="inlineStr">
        <is>
          <t>Waitlist module not built in current code: waitlist table has only id/timestamps; no model, screens or routes. Full programs block enrollment (capacity check) instead.</t>
        </is>
      </c>
      <c r="J44" s="10" t="n"/>
      <c r="K44" s="10" t="n"/>
    </row>
    <row r="45" ht="45.75" customHeight="1">
      <c r="A45" s="10" t="n">
        <v>44</v>
      </c>
      <c r="B45" s="11" t="inlineStr">
        <is>
          <t>Waitlist</t>
        </is>
      </c>
      <c r="C45" s="10" t="inlineStr">
        <is>
          <t>WAIT-02</t>
        </is>
      </c>
      <c r="D45" s="11" t="inlineStr">
        <is>
          <t>Offer a waitlist slot</t>
        </is>
      </c>
      <c r="E45" s="11" t="inlineStr">
        <is>
          <t>1. A spot opens; change status from waiting to offered</t>
        </is>
      </c>
      <c r="F45" s="11" t="inlineStr">
        <is>
          <t>Status updates correctly; child is notified per your process</t>
        </is>
      </c>
      <c r="G45" s="10" t="inlineStr">
        <is>
          <t>Medium</t>
        </is>
      </c>
      <c r="H45" s="10" t="inlineStr">
        <is>
          <t>N/A</t>
        </is>
      </c>
      <c r="I45" s="11" t="inlineStr">
        <is>
          <t>Waitlist module not built in current code: waitlist table has only id/timestamps; no model, screens or routes. Full programs block enrollment (capacity check) instead.</t>
        </is>
      </c>
      <c r="J45" s="10" t="n"/>
      <c r="K45" s="10" t="n"/>
    </row>
    <row r="46" ht="45.75" customHeight="1">
      <c r="A46" s="10" t="n">
        <v>45</v>
      </c>
      <c r="B46" s="11" t="inlineStr">
        <is>
          <t>Waitlist</t>
        </is>
      </c>
      <c r="C46" s="10" t="inlineStr">
        <is>
          <t>WAIT-03</t>
        </is>
      </c>
      <c r="D46" s="11" t="inlineStr">
        <is>
          <t>Expired offer</t>
        </is>
      </c>
      <c r="E46" s="11" t="inlineStr">
        <is>
          <t>1. Let an offered waitlist entry pass its response window</t>
        </is>
      </c>
      <c r="F46" s="11" t="inlineStr">
        <is>
          <t>Status updates to expired</t>
        </is>
      </c>
      <c r="G46" s="10" t="inlineStr">
        <is>
          <t>Low</t>
        </is>
      </c>
      <c r="H46" s="10" t="inlineStr">
        <is>
          <t>N/A</t>
        </is>
      </c>
      <c r="I46" s="11" t="inlineStr">
        <is>
          <t>Waitlist module not built in current code: waitlist table has only id/timestamps; no model, screens or routes. Full programs block enrollment (capacity check) instead.</t>
        </is>
      </c>
      <c r="J46" s="10" t="n"/>
      <c r="K46" s="10" t="n"/>
    </row>
    <row r="47" ht="45.75" customHeight="1">
      <c r="A47" s="10" t="n">
        <v>46</v>
      </c>
      <c r="B47" s="11" t="inlineStr">
        <is>
          <t>Attendance</t>
        </is>
      </c>
      <c r="C47" s="10" t="inlineStr">
        <is>
          <t>ATT-01</t>
        </is>
      </c>
      <c r="D47" s="11" t="inlineStr">
        <is>
          <t>Check in a child</t>
        </is>
      </c>
      <c r="E47" s="11" t="inlineStr">
        <is>
          <t>1. Staff checks in a child for today</t>
        </is>
      </c>
      <c r="F47" s="11" t="inlineStr">
        <is>
          <t>check_in_time recorded; status=present</t>
        </is>
      </c>
      <c r="G47" s="10" t="inlineStr">
        <is>
          <t>High</t>
        </is>
      </c>
      <c r="H47" s="10" t="inlineStr">
        <is>
          <t>Pass</t>
        </is>
      </c>
      <c r="I47" s="11" t="inlineStr">
        <is>
          <t>Checked in via Attendance Desk: check_in_time 08:40:00, status=present.</t>
        </is>
      </c>
      <c r="J47" s="10" t="n"/>
      <c r="K47" s="10" t="n"/>
    </row>
    <row r="48" ht="45.75" customHeight="1">
      <c r="A48" s="10" t="n">
        <v>47</v>
      </c>
      <c r="B48" s="11" t="inlineStr">
        <is>
          <t>Attendance</t>
        </is>
      </c>
      <c r="C48" s="10" t="inlineStr">
        <is>
          <t>ATT-02</t>
        </is>
      </c>
      <c r="D48" s="11" t="inlineStr">
        <is>
          <t>Check out a child</t>
        </is>
      </c>
      <c r="E48" s="11" t="inlineStr">
        <is>
          <t>1. Staff checks out the same child later</t>
        </is>
      </c>
      <c r="F48" s="11" t="inlineStr">
        <is>
          <t>check_out_time recorded</t>
        </is>
      </c>
      <c r="G48" s="10" t="inlineStr">
        <is>
          <t>High</t>
        </is>
      </c>
      <c r="H48" s="10" t="inlineStr">
        <is>
          <t>Pass</t>
        </is>
      </c>
      <c r="I48" s="11" t="inlineStr">
        <is>
          <t>check_out_time 16:30:00 recorded; duration shown (7h 50m).</t>
        </is>
      </c>
      <c r="J48" s="10" t="n"/>
      <c r="K48" s="10" t="n"/>
    </row>
    <row r="49" ht="45.75" customHeight="1">
      <c r="A49" s="10" t="n">
        <v>48</v>
      </c>
      <c r="B49" s="11" t="inlineStr">
        <is>
          <t>Attendance</t>
        </is>
      </c>
      <c r="C49" s="10" t="inlineStr">
        <is>
          <t>ATT-03</t>
        </is>
      </c>
      <c r="D49" s="11" t="inlineStr">
        <is>
          <t>Mark absent</t>
        </is>
      </c>
      <c r="E49" s="11" t="inlineStr">
        <is>
          <t>1. Mark a child absent for a day they didn't attend</t>
        </is>
      </c>
      <c r="F49" s="11" t="inlineStr">
        <is>
          <t>status=absent saved for that date</t>
        </is>
      </c>
      <c r="G49" s="10" t="inlineStr">
        <is>
          <t>Medium</t>
        </is>
      </c>
      <c r="H49" s="10" t="inlineStr">
        <is>
          <t>Pass</t>
        </is>
      </c>
      <c r="I49" s="11" t="inlineStr">
        <is>
          <t>status=absent saved for 2026-10-18.</t>
        </is>
      </c>
      <c r="J49" s="10" t="n"/>
      <c r="K49" s="10" t="n"/>
    </row>
    <row r="50" ht="45.75" customHeight="1">
      <c r="A50" s="10" t="n">
        <v>49</v>
      </c>
      <c r="B50" s="11" t="inlineStr">
        <is>
          <t>Attendance</t>
        </is>
      </c>
      <c r="C50" s="10" t="inlineStr">
        <is>
          <t>ATT-04</t>
        </is>
      </c>
      <c r="D50" s="11" t="inlineStr">
        <is>
          <t>Daily attendance counts are accurate</t>
        </is>
      </c>
      <c r="E50" s="11" t="inlineStr">
        <is>
          <t>1. Compare the attendance report for a given day against manual check-ins</t>
        </is>
      </c>
      <c r="F50" s="11" t="inlineStr">
        <is>
          <t>Present/absent/late counts match reality</t>
        </is>
      </c>
      <c r="G50" s="10" t="inlineStr">
        <is>
          <t>Medium</t>
        </is>
      </c>
      <c r="H50" s="10" t="inlineStr">
        <is>
          <t>Pass</t>
        </is>
      </c>
      <c r="I50" s="11" t="inlineStr">
        <is>
          <t>Attendance Desk stats match today's records: recorded 1, in 0, checked out 1, late 0, absent 0, not checked in 2 of 3 enrolled.</t>
        </is>
      </c>
      <c r="J50" s="10" t="n"/>
      <c r="K50" s="10" t="n"/>
    </row>
    <row r="51" ht="45.75" customHeight="1">
      <c r="A51" s="10" t="n">
        <v>50</v>
      </c>
      <c r="B51" s="11" t="inlineStr">
        <is>
          <t>Child Daily Logs</t>
        </is>
      </c>
      <c r="C51" s="10" t="inlineStr">
        <is>
          <t>LOG-01</t>
        </is>
      </c>
      <c r="D51" s="11" t="inlineStr">
        <is>
          <t>Log a nap</t>
        </is>
      </c>
      <c r="E51" s="11" t="inlineStr">
        <is>
          <t>1. Add a daily log with log_type=nap, start/end time, quality</t>
        </is>
      </c>
      <c r="F51" s="11" t="inlineStr">
        <is>
          <t>Entry saves and displays correctly on the child's timeline</t>
        </is>
      </c>
      <c r="G51" s="10" t="inlineStr">
        <is>
          <t>Medium</t>
        </is>
      </c>
      <c r="H51" s="10" t="inlineStr">
        <is>
          <t>Pass</t>
        </is>
      </c>
      <c r="I51" s="11" t="inlineStr">
        <is>
          <t>Retested after fix: nap saved with start/end (13:00–14:15, 1 hr 15 min) and Sleep Quality = Good; shown on the child's day timeline and Daily Logs list. Fixed: quality was previously discarded for naps; the log form now shows a Quality field labelled Appetite / Sleep Quality / Engagement by log type.</t>
        </is>
      </c>
      <c r="J51" s="10" t="n"/>
      <c r="K51" s="10" t="n"/>
    </row>
    <row r="52" ht="45.75" customHeight="1">
      <c r="A52" s="10" t="n">
        <v>51</v>
      </c>
      <c r="B52" s="11" t="inlineStr">
        <is>
          <t>Child Daily Logs</t>
        </is>
      </c>
      <c r="C52" s="10" t="inlineStr">
        <is>
          <t>LOG-02</t>
        </is>
      </c>
      <c r="D52" s="11" t="inlineStr">
        <is>
          <t>Log a meal</t>
        </is>
      </c>
      <c r="E52" s="11" t="inlineStr">
        <is>
          <t>1. Add a daily log with log_type=meal, meal_type, items_served, amount_eaten</t>
        </is>
      </c>
      <c r="F52" s="11" t="inlineStr">
        <is>
          <t>Meal-specific fields save; unrelated fields (quality) stay blank</t>
        </is>
      </c>
      <c r="G52" s="10" t="inlineStr">
        <is>
          <t>Medium</t>
        </is>
      </c>
      <c r="H52" s="10" t="inlineStr">
        <is>
          <t>Pass</t>
        </is>
      </c>
      <c r="I52" s="11" t="inlineStr">
        <is>
          <t>meal_type, items_served, amount_eaten saved; quality left blank.</t>
        </is>
      </c>
      <c r="J52" s="10" t="n"/>
      <c r="K52" s="10" t="n"/>
    </row>
    <row r="53" ht="45.75" customHeight="1">
      <c r="A53" s="10" t="n">
        <v>52</v>
      </c>
      <c r="B53" s="11" t="inlineStr">
        <is>
          <t>Child Daily Logs</t>
        </is>
      </c>
      <c r="C53" s="10" t="inlineStr">
        <is>
          <t>LOG-03</t>
        </is>
      </c>
      <c r="D53" s="11" t="inlineStr">
        <is>
          <t>Log activity participation</t>
        </is>
      </c>
      <c r="E53" s="11" t="inlineStr">
        <is>
          <t>1. Log an entry with log_type=activity linked to an activity_occurrence_id</t>
        </is>
      </c>
      <c r="F53" s="11" t="inlineStr">
        <is>
          <t>Entry correctly references the occurrence; shows in that occurrence's participant list</t>
        </is>
      </c>
      <c r="G53" s="10" t="inlineStr">
        <is>
          <t>Medium</t>
        </is>
      </c>
      <c r="H53" s="10" t="inlineStr">
        <is>
          <t>Pass</t>
        </is>
      </c>
      <c r="I53" s="11" t="inlineStr">
        <is>
          <t>Log references occurrence #26; child appears on that occurrence's page.</t>
        </is>
      </c>
      <c r="J53" s="10" t="n"/>
      <c r="K53" s="10" t="n"/>
    </row>
    <row r="54" ht="45.75" customHeight="1">
      <c r="A54" s="10" t="n">
        <v>53</v>
      </c>
      <c r="B54" s="11" t="inlineStr">
        <is>
          <t>Child Daily Logs</t>
        </is>
      </c>
      <c r="C54" s="10" t="inlineStr">
        <is>
          <t>LOG-04</t>
        </is>
      </c>
      <c r="D54" s="11" t="inlineStr">
        <is>
          <t>Log an incident</t>
        </is>
      </c>
      <c r="E54" s="11" t="inlineStr">
        <is>
          <t>1. Add a daily log with log_type=incident and detailed notes</t>
        </is>
      </c>
      <c r="F54" s="11" t="inlineStr">
        <is>
          <t>Notes saved in full; visible to authorized staff/admin</t>
        </is>
      </c>
      <c r="G54" s="10" t="inlineStr">
        <is>
          <t>High</t>
        </is>
      </c>
      <c r="H54" s="10" t="inlineStr">
        <is>
          <t>Pass</t>
        </is>
      </c>
      <c r="I54" s="11" t="inlineStr">
        <is>
          <t>Incident notes (1112 chars) saved in full; visible to admin and staff.</t>
        </is>
      </c>
      <c r="J54" s="10" t="n"/>
      <c r="K54" s="10" t="n"/>
    </row>
    <row r="55" ht="45.75" customHeight="1">
      <c r="A55" s="10" t="n">
        <v>54</v>
      </c>
      <c r="B55" s="11" t="inlineStr">
        <is>
          <t>Child Daily Logs</t>
        </is>
      </c>
      <c r="C55" s="10" t="inlineStr">
        <is>
          <t>LOG-05</t>
        </is>
      </c>
      <c r="D55" s="11" t="inlineStr">
        <is>
          <t>Daily timeline sorts correctly</t>
        </is>
      </c>
      <c r="E55" s="11" t="inlineStr">
        <is>
          <t>1. View a child's full day of logs</t>
        </is>
      </c>
      <c r="F55" s="11" t="inlineStr">
        <is>
          <t>Entries display in chronological order by start_time</t>
        </is>
      </c>
      <c r="G55" s="10" t="inlineStr">
        <is>
          <t>Low</t>
        </is>
      </c>
      <c r="H55" s="10" t="inlineStr">
        <is>
          <t>Pass</t>
        </is>
      </c>
      <c r="I55" s="11" t="inlineStr">
        <is>
          <t>Entries added out of order (17:10 then 07:50) display chronologically by start_time.</t>
        </is>
      </c>
      <c r="J55" s="10" t="n"/>
      <c r="K55" s="10" t="n"/>
    </row>
    <row r="56" ht="45.75" customHeight="1">
      <c r="A56" s="10" t="n">
        <v>55</v>
      </c>
      <c r="B56" s="11" t="inlineStr">
        <is>
          <t>Child Daily Logs</t>
        </is>
      </c>
      <c r="C56" s="10" t="inlineStr">
        <is>
          <t>LOG-06</t>
        </is>
      </c>
      <c r="D56" s="11" t="inlineStr">
        <is>
          <t>Parent has read-only access to logs</t>
        </is>
      </c>
      <c r="E56" s="11" t="inlineStr">
        <is>
          <t>1. Login as parent
2. View own child's daily logs</t>
        </is>
      </c>
      <c r="F56" s="11" t="inlineStr">
        <is>
          <t>Logs are visible but no edit controls are shown</t>
        </is>
      </c>
      <c r="G56" s="10" t="inlineStr">
        <is>
          <t>Medium</t>
        </is>
      </c>
      <c r="H56" s="10" t="inlineStr">
        <is>
          <t>Pass</t>
        </is>
      </c>
      <c r="I56" s="11" t="inlineStr">
        <is>
          <t>Parent sees own child's logs (admin view 200 + parent app Today) read-only; POST blocked (403); other child's logs 403.</t>
        </is>
      </c>
      <c r="J56" s="10" t="n"/>
      <c r="K56" s="10" t="n"/>
    </row>
    <row r="57" ht="45.75" customHeight="1">
      <c r="A57" s="10" t="n">
        <v>56</v>
      </c>
      <c r="B57" s="11" t="inlineStr">
        <is>
          <t>Documents</t>
        </is>
      </c>
      <c r="C57" s="10" t="inlineStr">
        <is>
          <t>DOC-01</t>
        </is>
      </c>
      <c r="D57" s="11" t="inlineStr">
        <is>
          <t>Upload a document</t>
        </is>
      </c>
      <c r="E57" s="11" t="inlineStr">
        <is>
          <t>1. Admin/staff uploads an immunization record for a child</t>
        </is>
      </c>
      <c r="F57" s="11" t="inlineStr">
        <is>
          <t>File stored; document row created with correct doc_type</t>
        </is>
      </c>
      <c r="G57" s="10" t="inlineStr">
        <is>
          <t>Medium</t>
        </is>
      </c>
      <c r="H57" s="10" t="inlineStr">
        <is>
          <t>Pass</t>
        </is>
      </c>
      <c r="I57" s="11" t="inlineStr">
        <is>
          <t>Uploaded via child edit form; file stored; document row doc_type=medical_form (no dedicated 'immunization' type — use Medical Form).</t>
        </is>
      </c>
      <c r="J57" s="10" t="n"/>
      <c r="K57" s="10" t="n"/>
    </row>
    <row r="58" ht="45.75" customHeight="1">
      <c r="A58" s="10" t="n">
        <v>57</v>
      </c>
      <c r="B58" s="11" t="inlineStr">
        <is>
          <t>Documents</t>
        </is>
      </c>
      <c r="C58" s="10" t="inlineStr">
        <is>
          <t>DOC-02</t>
        </is>
      </c>
      <c r="D58" s="11" t="inlineStr">
        <is>
          <t>Expiry date displays</t>
        </is>
      </c>
      <c r="E58" s="11" t="inlineStr">
        <is>
          <t>1. Upload a document with an expiry_date</t>
        </is>
      </c>
      <c r="F58" s="11" t="inlineStr">
        <is>
          <t>Expiry date shows correctly on the child's document list</t>
        </is>
      </c>
      <c r="G58" s="10" t="inlineStr">
        <is>
          <t>Low</t>
        </is>
      </c>
      <c r="H58" s="10" t="inlineStr">
        <is>
          <t>Pass</t>
        </is>
      </c>
      <c r="I58" s="11" t="inlineStr">
        <is>
          <t>Retested after fix: expiry date (Jun 30, 2027) shows in the new Expiry column of the child's document list (Edit Child). Expired documents are flagged red, ones expiring within 30 days amber; no date shows "No expiry".</t>
        </is>
      </c>
      <c r="J58" s="10" t="n"/>
      <c r="K58" s="10" t="n"/>
    </row>
    <row r="59" ht="45.75" customHeight="1">
      <c r="A59" s="10" t="n">
        <v>58</v>
      </c>
      <c r="B59" s="11" t="inlineStr">
        <is>
          <t>Documents</t>
        </is>
      </c>
      <c r="C59" s="10" t="inlineStr">
        <is>
          <t>DOC-03</t>
        </is>
      </c>
      <c r="D59" s="11" t="inlineStr">
        <is>
          <t>Parent cannot upload documents</t>
        </is>
      </c>
      <c r="E59" s="11" t="inlineStr">
        <is>
          <t>1. Login as parent
2. Attempt to upload a document</t>
        </is>
      </c>
      <c r="F59" s="11" t="inlineStr">
        <is>
          <t>Action blocked/hidden</t>
        </is>
      </c>
      <c r="G59" s="10" t="inlineStr">
        <is>
          <t>Medium</t>
        </is>
      </c>
      <c r="H59" s="10" t="inlineStr">
        <is>
          <t>Pass</t>
        </is>
      </c>
      <c r="I59" s="11" t="inlineStr">
        <is>
          <t>Parent upload blocked (update returned 403, edit form 403); no document created.</t>
        </is>
      </c>
      <c r="J59" s="10" t="n"/>
      <c r="K59" s="10" t="n"/>
    </row>
    <row r="60" ht="45.75" customHeight="1">
      <c r="A60" s="10" t="n">
        <v>59</v>
      </c>
      <c r="B60" s="11" t="inlineStr">
        <is>
          <t>Activities</t>
        </is>
      </c>
      <c r="C60" s="10" t="inlineStr">
        <is>
          <t>ACT-01</t>
        </is>
      </c>
      <c r="D60" s="11" t="inlineStr">
        <is>
          <t>Create an activity</t>
        </is>
      </c>
      <c r="E60" s="11" t="inlineStr">
        <is>
          <t>1. Admin adds a new activity to the catalog (name, category, age range)</t>
        </is>
      </c>
      <c r="F60" s="11" t="inlineStr">
        <is>
          <t>Activity saved and available for scheduling</t>
        </is>
      </c>
      <c r="G60" s="10" t="inlineStr">
        <is>
          <t>Low</t>
        </is>
      </c>
      <c r="H60" s="10" t="inlineStr">
        <is>
          <t>Pass</t>
        </is>
      </c>
      <c r="I60" s="11" t="inlineStr">
        <is>
          <t>Activity saved (name, category, duration) and offered when scheduling an occurrence. Note: catalog has no age-range field.</t>
        </is>
      </c>
      <c r="J60" s="10" t="n"/>
      <c r="K60" s="10" t="n"/>
    </row>
    <row r="61" ht="45.75" customHeight="1">
      <c r="A61" s="10" t="n">
        <v>60</v>
      </c>
      <c r="B61" s="11" t="inlineStr">
        <is>
          <t>Activities</t>
        </is>
      </c>
      <c r="C61" s="10" t="inlineStr">
        <is>
          <t>ACT-02</t>
        </is>
      </c>
      <c r="D61" s="11" t="inlineStr">
        <is>
          <t>Log an activity occurrence</t>
        </is>
      </c>
      <c r="E61" s="11" t="inlineStr">
        <is>
          <t>1. Schedule/log an occurrence for a program on a specific date</t>
        </is>
      </c>
      <c r="F61" s="11" t="inlineStr">
        <is>
          <t>Occurrence saved with correct activity, program, date</t>
        </is>
      </c>
      <c r="G61" s="10" t="inlineStr">
        <is>
          <t>Medium</t>
        </is>
      </c>
      <c r="H61" s="10" t="inlineStr">
        <is>
          <t>Pass</t>
        </is>
      </c>
      <c r="I61" s="11" t="inlineStr">
        <is>
          <t>Occurrence saved: activity, program and date 2026-10-23 correct.</t>
        </is>
      </c>
      <c r="J61" s="10" t="n"/>
      <c r="K61" s="10" t="n"/>
    </row>
    <row r="62" ht="45.75" customHeight="1">
      <c r="A62" s="10" t="n">
        <v>61</v>
      </c>
      <c r="B62" s="11" t="inlineStr">
        <is>
          <t>Activities</t>
        </is>
      </c>
      <c r="C62" s="10" t="inlineStr">
        <is>
          <t>ACT-03</t>
        </is>
      </c>
      <c r="D62" s="11" t="inlineStr">
        <is>
          <t>Occurrence status update</t>
        </is>
      </c>
      <c r="E62" s="11" t="inlineStr">
        <is>
          <t>1. Mark an occurrence as completed / partial / cancelled</t>
        </is>
      </c>
      <c r="F62" s="11" t="inlineStr">
        <is>
          <t>Status saves correctly</t>
        </is>
      </c>
      <c r="G62" s="10" t="inlineStr">
        <is>
          <t>Low</t>
        </is>
      </c>
      <c r="H62" s="10" t="inlineStr">
        <is>
          <t>Pass</t>
        </is>
      </c>
      <c r="I62" s="11" t="inlineStr">
        <is>
          <t>Status saved for completed, partial and cancelled.</t>
        </is>
      </c>
      <c r="J62" s="10" t="n"/>
      <c r="K62" s="10" t="n"/>
    </row>
    <row r="63" ht="45.75" customHeight="1">
      <c r="A63" s="10" t="n">
        <v>62</v>
      </c>
      <c r="B63" s="11" t="inlineStr">
        <is>
          <t>Activities</t>
        </is>
      </c>
      <c r="C63" s="10" t="inlineStr">
        <is>
          <t>ACT-04</t>
        </is>
      </c>
      <c r="D63" s="11" t="inlineStr">
        <is>
          <t>Monthly calendar view</t>
        </is>
      </c>
      <c r="E63" s="11" t="inlineStr">
        <is>
          <t>1. Open the admin's monthly activity view for a given month</t>
        </is>
      </c>
      <c r="F63" s="11" t="inlineStr">
        <is>
          <t>All occurrences for that month display grouped by day, matching actual records</t>
        </is>
      </c>
      <c r="G63" s="10" t="inlineStr">
        <is>
          <t>High</t>
        </is>
      </c>
      <c r="H63" s="10" t="inlineStr">
        <is>
          <t>Pass</t>
        </is>
      </c>
      <c r="I63" s="11" t="inlineStr">
        <is>
          <t>Monthly Activity Calendar loads for October 2026 with occurrences grouped by day (5 occurrence(s) in DB this month).</t>
        </is>
      </c>
      <c r="J63" s="10" t="n"/>
      <c r="K63" s="10" t="n"/>
    </row>
    <row r="64" ht="45.75" customHeight="1">
      <c r="A64" s="10" t="n">
        <v>63</v>
      </c>
      <c r="B64" s="11" t="inlineStr">
        <is>
          <t>Activities</t>
        </is>
      </c>
      <c r="C64" s="10" t="inlineStr">
        <is>
          <t>ACT-05</t>
        </is>
      </c>
      <c r="D64" s="11" t="inlineStr">
        <is>
          <t>Attach media to an occurrence</t>
        </is>
      </c>
      <c r="E64" s="11" t="inlineStr">
        <is>
          <t>1. Upload a photo/video to an activity occurrence</t>
        </is>
      </c>
      <c r="F64" s="11" t="inlineStr">
        <is>
          <t>Media saves and displays linked to that occurrence</t>
        </is>
      </c>
      <c r="G64" s="10" t="inlineStr">
        <is>
          <t>Low</t>
        </is>
      </c>
      <c r="H64" s="10" t="inlineStr">
        <is>
          <t>Pass</t>
        </is>
      </c>
      <c r="I64" s="11" t="inlineStr">
        <is>
          <t>Photo saved (media_type=photo) and displayed on the occurrence page; also appears in parent app Photos for that program.</t>
        </is>
      </c>
      <c r="J64" s="10" t="n"/>
      <c r="K64" s="10" t="n"/>
    </row>
    <row r="65" ht="45.75" customHeight="1">
      <c r="A65" s="10" t="n">
        <v>64</v>
      </c>
      <c r="B65" s="11" t="inlineStr">
        <is>
          <t>Activities</t>
        </is>
      </c>
      <c r="C65" s="10" t="inlineStr">
        <is>
          <t>ACT-06</t>
        </is>
      </c>
      <c r="D65" s="11" t="inlineStr">
        <is>
          <t>Child engagement reflected</t>
        </is>
      </c>
      <c r="E65" s="11" t="inlineStr">
        <is>
          <t>1. Log a child's engagement quality for an activity via the daily log</t>
        </is>
      </c>
      <c r="F65" s="11" t="inlineStr">
        <is>
          <t>Correct engagement level shows against that child + occurrence</t>
        </is>
      </c>
      <c r="G65" s="10" t="inlineStr">
        <is>
          <t>Low</t>
        </is>
      </c>
      <c r="H65" s="10" t="inlineStr">
        <is>
          <t>Pass</t>
        </is>
      </c>
      <c r="I65" s="11" t="inlineStr">
        <is>
          <t>Retested after fix: engagement entered on the activity log (Good) is saved and shows in the new Engagement column against the child on the activity occurrence page, and on the child's timeline / Daily Logs list.</t>
        </is>
      </c>
      <c r="J65" s="10" t="n"/>
      <c r="K65" s="10" t="n"/>
    </row>
    <row r="66" ht="45.75" customHeight="1">
      <c r="A66" s="10" t="n">
        <v>65</v>
      </c>
      <c r="B66" s="11" t="inlineStr">
        <is>
          <t>Drop-in Bookings</t>
        </is>
      </c>
      <c r="C66" s="10" t="inlineStr">
        <is>
          <t>DROP-01</t>
        </is>
      </c>
      <c r="D66" s="11" t="inlineStr">
        <is>
          <t>Book drop-in for enrolled child</t>
        </is>
      </c>
      <c r="E66" s="11" t="inlineStr">
        <is>
          <t>1. Book a drop-in day for a child who already has an active enrollment</t>
        </is>
      </c>
      <c r="F66" s="11" t="inlineStr">
        <is>
          <t>Booking created and linked to that child/parent</t>
        </is>
      </c>
      <c r="G66" s="10" t="inlineStr">
        <is>
          <t>Medium</t>
        </is>
      </c>
      <c r="H66" s="10" t="inlineStr">
        <is>
          <t>N/A</t>
        </is>
      </c>
      <c r="I66" s="11" t="inlineStr">
        <is>
          <t>Drop-in Bookings module not built in current code (no table/model/screens). "Drop-In" exists only as an enrollment service type.</t>
        </is>
      </c>
      <c r="J66" s="10" t="n"/>
      <c r="K66" s="10" t="n"/>
    </row>
    <row r="67" ht="45.75" customHeight="1">
      <c r="A67" s="10" t="n">
        <v>66</v>
      </c>
      <c r="B67" s="11" t="inlineStr">
        <is>
          <t>Drop-in Bookings</t>
        </is>
      </c>
      <c r="C67" s="10" t="inlineStr">
        <is>
          <t>DROP-02</t>
        </is>
      </c>
      <c r="D67" s="11" t="inlineStr">
        <is>
          <t>Book drop-in for a walk-in (no account)</t>
        </is>
      </c>
      <c r="E67" s="11" t="inlineStr">
        <is>
          <t>1. Create a drop-in booking with child_id and parent_id left blank, just contact notes</t>
        </is>
      </c>
      <c r="F67" s="11" t="inlineStr">
        <is>
          <t>Booking saves successfully with both FKs null</t>
        </is>
      </c>
      <c r="G67" s="10" t="inlineStr">
        <is>
          <t>High</t>
        </is>
      </c>
      <c r="H67" s="10" t="inlineStr">
        <is>
          <t>N/A</t>
        </is>
      </c>
      <c r="I67" s="11" t="inlineStr">
        <is>
          <t>Drop-in Bookings module not built in current code (no table/model/screens). "Drop-In" exists only as an enrollment service type.</t>
        </is>
      </c>
      <c r="J67" s="10" t="n"/>
      <c r="K67" s="10" t="n"/>
    </row>
    <row r="68" ht="45.75" customHeight="1">
      <c r="A68" s="10" t="n">
        <v>67</v>
      </c>
      <c r="B68" s="11" t="inlineStr">
        <is>
          <t>Drop-in Bookings</t>
        </is>
      </c>
      <c r="C68" s="10" t="inlineStr">
        <is>
          <t>DROP-03</t>
        </is>
      </c>
      <c r="D68" s="11" t="inlineStr">
        <is>
          <t>Status progression</t>
        </is>
      </c>
      <c r="E68" s="11" t="inlineStr">
        <is>
          <t>1. Move a booking from booked → checked_in → completed</t>
        </is>
      </c>
      <c r="F68" s="11" t="inlineStr">
        <is>
          <t>Each status transition saves correctly</t>
        </is>
      </c>
      <c r="G68" s="10" t="inlineStr">
        <is>
          <t>Medium</t>
        </is>
      </c>
      <c r="H68" s="10" t="inlineStr">
        <is>
          <t>N/A</t>
        </is>
      </c>
      <c r="I68" s="11" t="inlineStr">
        <is>
          <t>Drop-in Bookings module not built in current code (no table/model/screens). "Drop-In" exists only as an enrollment service type.</t>
        </is>
      </c>
      <c r="J68" s="10" t="n"/>
      <c r="K68" s="10" t="n"/>
    </row>
    <row r="69" ht="45.75" customHeight="1">
      <c r="A69" s="10" t="n">
        <v>68</v>
      </c>
      <c r="B69" s="11" t="inlineStr">
        <is>
          <t>Drop-in Bookings</t>
        </is>
      </c>
      <c r="C69" s="10" t="inlineStr">
        <is>
          <t>DROP-04</t>
        </is>
      </c>
      <c r="D69" s="11" t="inlineStr">
        <is>
          <t>Drop-in appears in manual invoice</t>
        </is>
      </c>
      <c r="E69" s="11" t="inlineStr">
        <is>
          <t>1. Create a manual invoice and select a completed drop-in booking</t>
        </is>
      </c>
      <c r="F69" s="11" t="inlineStr">
        <is>
          <t>Line item is added with the correct daily_rate</t>
        </is>
      </c>
      <c r="G69" s="10" t="inlineStr">
        <is>
          <t>Medium</t>
        </is>
      </c>
      <c r="H69" s="10" t="inlineStr">
        <is>
          <t>N/A</t>
        </is>
      </c>
      <c r="I69" s="11" t="inlineStr">
        <is>
          <t>Drop-in Bookings module not built in current code (no table/model/screens). "Drop-In" exists only as an enrollment service type.</t>
        </is>
      </c>
      <c r="J69" s="10" t="n"/>
      <c r="K69" s="10" t="n"/>
    </row>
    <row r="70" ht="45.75" customHeight="1">
      <c r="A70" s="10" t="n">
        <v>69</v>
      </c>
      <c r="B70" s="11" t="inlineStr">
        <is>
          <t>Billing - Daycare</t>
        </is>
      </c>
      <c r="C70" s="10" t="inlineStr">
        <is>
          <t>BILL-01</t>
        </is>
      </c>
      <c r="D70" s="11" t="inlineStr">
        <is>
          <t>Create a daycare-only invoice</t>
        </is>
      </c>
      <c r="E70" s="11" t="inlineStr">
        <is>
          <t>1. Admin selects only active enrollment items for a child
2. Creates the invoice</t>
        </is>
      </c>
      <c r="F70" s="11" t="inlineStr">
        <is>
          <t>Invoice type saves as "daycare"; total matches sum of selected items</t>
        </is>
      </c>
      <c r="G70" s="10" t="inlineStr">
        <is>
          <t>High</t>
        </is>
      </c>
      <c r="H70" s="10" t="inlineStr">
        <is>
          <t>Pass</t>
        </is>
      </c>
      <c r="I70" s="11" t="inlineStr">
        <is>
          <t>Daycare-only invoice INV-20261021-0001: type=daycare, total ৳5,100 = sum of items. Note: items are entered/selected from the item catalog — invoices are not auto-built from active enrollments.</t>
        </is>
      </c>
      <c r="J70" s="10" t="n"/>
      <c r="K70" s="10" t="n"/>
    </row>
    <row r="71" ht="45.75" customHeight="1">
      <c r="A71" s="10" t="n">
        <v>70</v>
      </c>
      <c r="B71" s="11" t="inlineStr">
        <is>
          <t>Billing - Daycare</t>
        </is>
      </c>
      <c r="C71" s="10" t="inlineStr">
        <is>
          <t>BILL-02</t>
        </is>
      </c>
      <c r="D71" s="11" t="inlineStr">
        <is>
          <t>Invoice type auto-classification</t>
        </is>
      </c>
      <c r="E71" s="11" t="inlineStr">
        <is>
          <t>1. Repeat BILL-01 exactly</t>
        </is>
      </c>
      <c r="F71" s="11" t="inlineStr">
        <is>
          <t>type field correctly equals "daycare" (not therapy or mixed)</t>
        </is>
      </c>
      <c r="G71" s="10" t="inlineStr">
        <is>
          <t>Medium</t>
        </is>
      </c>
      <c r="H71" s="10" t="inlineStr">
        <is>
          <t>Pass</t>
        </is>
      </c>
      <c r="I71" s="11" t="inlineStr">
        <is>
          <t>Type computed as "daycare" (derived from items, not stored).</t>
        </is>
      </c>
      <c r="J71" s="10" t="n"/>
      <c r="K71" s="10" t="n"/>
    </row>
    <row r="72" ht="45.75" customHeight="1">
      <c r="A72" s="10" t="n">
        <v>71</v>
      </c>
      <c r="B72" s="11" t="inlineStr">
        <is>
          <t>Billing - Daycare</t>
        </is>
      </c>
      <c r="C72" s="10" t="inlineStr">
        <is>
          <t>BILL-03</t>
        </is>
      </c>
      <c r="D72" s="11" t="inlineStr">
        <is>
          <t>Record a full payment</t>
        </is>
      </c>
      <c r="E72" s="11" t="inlineStr">
        <is>
          <t>1. Record a payment equal to the invoice total</t>
        </is>
      </c>
      <c r="F72" s="11" t="inlineStr">
        <is>
          <t>Invoice status updates to paid</t>
        </is>
      </c>
      <c r="G72" s="10" t="inlineStr">
        <is>
          <t>High</t>
        </is>
      </c>
      <c r="H72" s="10" t="inlineStr">
        <is>
          <t>Pass</t>
        </is>
      </c>
      <c r="I72" s="11" t="inlineStr">
        <is>
          <t>Full cash payment recorded → status Paid, balance ৳0.</t>
        </is>
      </c>
      <c r="J72" s="10" t="n"/>
      <c r="K72" s="10" t="n"/>
    </row>
    <row r="73" ht="45.75" customHeight="1">
      <c r="A73" s="10" t="n">
        <v>72</v>
      </c>
      <c r="B73" s="11" t="inlineStr">
        <is>
          <t>Billing - Daycare</t>
        </is>
      </c>
      <c r="C73" s="10" t="inlineStr">
        <is>
          <t>BILL-04</t>
        </is>
      </c>
      <c r="D73" s="11" t="inlineStr">
        <is>
          <t>Record a partial payment</t>
        </is>
      </c>
      <c r="E73" s="11" t="inlineStr">
        <is>
          <t>1. Record a payment less than the invoice total</t>
        </is>
      </c>
      <c r="F73" s="11" t="inlineStr">
        <is>
          <t>Invoice remains outstanding for the correct remaining balance</t>
        </is>
      </c>
      <c r="G73" s="10" t="inlineStr">
        <is>
          <t>High</t>
        </is>
      </c>
      <c r="H73" s="10" t="inlineStr">
        <is>
          <t>Pass</t>
        </is>
      </c>
      <c r="I73" s="11" t="inlineStr">
        <is>
          <t>Partial payment ৳1,200 of ৳3,000 → status Partially Paid, balance ৳1,800.</t>
        </is>
      </c>
      <c r="J73" s="10" t="n"/>
      <c r="K73" s="10" t="n"/>
    </row>
    <row r="74" ht="45.75" customHeight="1">
      <c r="A74" s="10" t="n">
        <v>73</v>
      </c>
      <c r="B74" s="11" t="inlineStr">
        <is>
          <t>Billing - Daycare</t>
        </is>
      </c>
      <c r="C74" s="10" t="inlineStr">
        <is>
          <t>BILL-05</t>
        </is>
      </c>
      <c r="D74" s="11" t="inlineStr">
        <is>
          <t>State-funded line item is $0</t>
        </is>
      </c>
      <c r="E74" s="11" t="inlineStr">
        <is>
          <t>1. Include a state-funded enrollment on an invoice</t>
        </is>
      </c>
      <c r="F74" s="11" t="inlineStr">
        <is>
          <t>Line item shows unit_price/subtotal = 0.00 correctly</t>
        </is>
      </c>
      <c r="G74" s="10" t="inlineStr">
        <is>
          <t>Medium</t>
        </is>
      </c>
      <c r="H74" s="10" t="inlineStr">
        <is>
          <t>N/A</t>
        </is>
      </c>
      <c r="I74" s="11" t="inlineStr">
        <is>
          <t>No state-funded enrollment concept in current code (no flag on enrollments/invoices). Manual line items also require amount ≥ 0.01.</t>
        </is>
      </c>
      <c r="J74" s="10" t="n"/>
      <c r="K74" s="10" t="n"/>
    </row>
    <row r="75" ht="45.75" customHeight="1">
      <c r="A75" s="10" t="n">
        <v>74</v>
      </c>
      <c r="B75" s="11" t="inlineStr">
        <is>
          <t>Billing - Daycare</t>
        </is>
      </c>
      <c r="C75" s="10" t="inlineStr">
        <is>
          <t>BILL-06</t>
        </is>
      </c>
      <c r="D75" s="11" t="inlineStr">
        <is>
          <t>Invoice item math is correct</t>
        </is>
      </c>
      <c r="E75" s="11" t="inlineStr">
        <is>
          <t>1. Add multiple items with different quantities/prices to one invoice</t>
        </is>
      </c>
      <c r="F75" s="11" t="inlineStr">
        <is>
          <t>subtotal and invoice total_amount both calculate correctly</t>
        </is>
      </c>
      <c r="G75" s="10" t="inlineStr">
        <is>
          <t>High</t>
        </is>
      </c>
      <c r="H75" s="10" t="inlineStr">
        <is>
          <t>Pass</t>
        </is>
      </c>
      <c r="I75" s="11" t="inlineStr">
        <is>
          <t>Item amounts and invoice total_amount both ৳5,450.75. Note: UI has no quantity field (qty fixed at 1 per line).</t>
        </is>
      </c>
      <c r="J75" s="10" t="n"/>
      <c r="K75" s="10" t="n"/>
    </row>
    <row r="76" ht="45.75" customHeight="1">
      <c r="A76" s="10" t="n">
        <v>75</v>
      </c>
      <c r="B76" s="11" t="inlineStr">
        <is>
          <t>Therapy Wing Setup</t>
        </is>
      </c>
      <c r="C76" s="10" t="inlineStr">
        <is>
          <t>THER-01</t>
        </is>
      </c>
      <c r="D76" s="11" t="inlineStr">
        <is>
          <t>Create a therapist staff record</t>
        </is>
      </c>
      <c r="E76" s="11" t="inlineStr">
        <is>
          <t>1. Admin creates a staff user with role=therapist and a specialization (SLT/ABA/OT)</t>
        </is>
      </c>
      <c r="F76" s="11" t="inlineStr">
        <is>
          <t>Staff row saves with correct role, department=therapy, specialization</t>
        </is>
      </c>
      <c r="G76" s="10" t="inlineStr">
        <is>
          <t>High</t>
        </is>
      </c>
      <c r="H76" s="10" t="inlineStr">
        <is>
          <t>Pass</t>
        </is>
      </c>
      <c r="I76" s="11" t="inlineStr">
        <is>
          <t>Retested after fix: Admin &gt; Staff &gt; Add Staff (role Therapist, dept Therapy, specialization SLT/OT) saves the staff row with correct role/department/specialization and a login account; the new therapist can sign in. Fixed: password was missing from validation (500 error). Password is now required (min 8, confirmed) on create; on edit, blank keeps the current password and a new one is now actually saved.</t>
        </is>
      </c>
      <c r="J76" s="10" t="n"/>
      <c r="K76" s="10" t="n"/>
    </row>
    <row r="77" ht="45.75" customHeight="1">
      <c r="A77" s="10" t="n">
        <v>76</v>
      </c>
      <c r="B77" s="11" t="inlineStr">
        <is>
          <t>Therapy Wing Setup</t>
        </is>
      </c>
      <c r="C77" s="10" t="inlineStr">
        <is>
          <t>THER-02</t>
        </is>
      </c>
      <c r="D77" s="11" t="inlineStr">
        <is>
          <t>Therapy service catalog entry</t>
        </is>
      </c>
      <c r="E77" s="11" t="inlineStr">
        <is>
          <t>1. Admin adds a therapy service (e.g. "ABA Session") with duration and session_rate</t>
        </is>
      </c>
      <c r="F77" s="11" t="inlineStr">
        <is>
          <t>Service saves and is selectable for booking</t>
        </is>
      </c>
      <c r="G77" s="10" t="inlineStr">
        <is>
          <t>Medium</t>
        </is>
      </c>
      <c r="H77" s="10" t="inlineStr">
        <is>
          <t>Pass</t>
        </is>
      </c>
      <c r="I77" s="11" t="inlineStr">
        <is>
          <t>Service saved (45 min, ৳1,200) and selectable on the session booking form.</t>
        </is>
      </c>
      <c r="J77" s="10" t="n"/>
      <c r="K77" s="10" t="n"/>
    </row>
    <row r="78" ht="45.75" customHeight="1">
      <c r="A78" s="10" t="n">
        <v>77</v>
      </c>
      <c r="B78" s="11" t="inlineStr">
        <is>
          <t>Therapy Wing Setup</t>
        </is>
      </c>
      <c r="C78" s="10" t="inlineStr">
        <is>
          <t>THER-03</t>
        </is>
      </c>
      <c r="D78" s="11" t="inlineStr">
        <is>
          <t>Existing staff unaffected by new columns</t>
        </is>
      </c>
      <c r="E78" s="11" t="inlineStr">
        <is>
          <t>1. Open a staff record created before this module existed</t>
        </is>
      </c>
      <c r="F78" s="11" t="inlineStr">
        <is>
          <t>department defaults to "daycare"; specialization is null; nothing else changed</t>
        </is>
      </c>
      <c r="G78" s="10" t="inlineStr">
        <is>
          <t>Medium</t>
        </is>
      </c>
      <c r="H78" s="10" t="inlineStr">
        <is>
          <t>Pass</t>
        </is>
      </c>
      <c r="I78" s="11" t="inlineStr">
        <is>
          <t>Existing staff (Tania Sultana) department=daycare, specialization=null.</t>
        </is>
      </c>
      <c r="J78" s="10" t="n"/>
      <c r="K78" s="10" t="n"/>
    </row>
    <row r="79" ht="45.75" customHeight="1">
      <c r="A79" s="10" t="n">
        <v>78</v>
      </c>
      <c r="B79" s="11" t="inlineStr">
        <is>
          <t>Therapy Wing Setup</t>
        </is>
      </c>
      <c r="C79" s="10" t="inlineStr">
        <is>
          <t>THER-04</t>
        </is>
      </c>
      <c r="D79" s="11" t="inlineStr">
        <is>
          <t>Non-admin blocked from managing services</t>
        </is>
      </c>
      <c r="E79" s="11" t="inlineStr">
        <is>
          <t>1. Login as staff/parent
2. Attempt to edit the therapy services catalog</t>
        </is>
      </c>
      <c r="F79" s="11" t="inlineStr">
        <is>
          <t>Access denied</t>
        </is>
      </c>
      <c r="G79" s="10" t="inlineStr">
        <is>
          <t>Medium</t>
        </is>
      </c>
      <c r="H79" s="10" t="inlineStr">
        <is>
          <t>Pass</t>
        </is>
      </c>
      <c r="I79" s="11" t="inlineStr">
        <is>
          <t>Staff (create form/POST) and parent (index) all get 403.</t>
        </is>
      </c>
      <c r="J79" s="10" t="n"/>
      <c r="K79" s="10" t="n"/>
    </row>
    <row r="80" ht="45.75" customHeight="1">
      <c r="A80" s="10" t="n">
        <v>79</v>
      </c>
      <c r="B80" s="11" t="inlineStr">
        <is>
          <t>Therapy Sessions</t>
        </is>
      </c>
      <c r="C80" s="10" t="inlineStr">
        <is>
          <t>TSES-01</t>
        </is>
      </c>
      <c r="D80" s="11" t="inlineStr">
        <is>
          <t>Book a therapy session</t>
        </is>
      </c>
      <c r="E80" s="11" t="inlineStr">
        <is>
          <t>1. Book a session for a child with a specific therapist and service, date/time</t>
        </is>
      </c>
      <c r="F80" s="11" t="inlineStr">
        <is>
          <t>Session saves with status=scheduled</t>
        </is>
      </c>
      <c r="G80" s="10" t="inlineStr">
        <is>
          <t>High</t>
        </is>
      </c>
      <c r="H80" s="10" t="inlineStr">
        <is>
          <t>Pass</t>
        </is>
      </c>
      <c r="I80" s="11" t="inlineStr">
        <is>
          <t>Session saved with status=scheduled (therapist specialization must match service type; overlaps are rejected).</t>
        </is>
      </c>
      <c r="J80" s="10" t="n"/>
      <c r="K80" s="10" t="n"/>
    </row>
    <row r="81" ht="45.75" customHeight="1">
      <c r="A81" s="10" t="n">
        <v>80</v>
      </c>
      <c r="B81" s="11" t="inlineStr">
        <is>
          <t>Therapy Sessions</t>
        </is>
      </c>
      <c r="C81" s="10" t="inlineStr">
        <is>
          <t>TSES-02</t>
        </is>
      </c>
      <c r="D81" s="11" t="inlineStr">
        <is>
          <t>Mark session completed</t>
        </is>
      </c>
      <c r="E81" s="11" t="inlineStr">
        <is>
          <t>1. Update a scheduled session's status to completed, add notes</t>
        </is>
      </c>
      <c r="F81" s="11" t="inlineStr">
        <is>
          <t>Status and notes save correctly</t>
        </is>
      </c>
      <c r="G81" s="10" t="inlineStr">
        <is>
          <t>High</t>
        </is>
      </c>
      <c r="H81" s="10" t="inlineStr">
        <is>
          <t>Pass</t>
        </is>
      </c>
      <c r="I81" s="11" t="inlineStr">
        <is>
          <t>Status → completed; notes kept (status update form only changes status).</t>
        </is>
      </c>
      <c r="J81" s="10" t="n"/>
      <c r="K81" s="10" t="n"/>
    </row>
    <row r="82" ht="45.75" customHeight="1">
      <c r="A82" s="10" t="n">
        <v>81</v>
      </c>
      <c r="B82" s="11" t="inlineStr">
        <is>
          <t>Therapy Sessions</t>
        </is>
      </c>
      <c r="C82" s="10" t="inlineStr">
        <is>
          <t>TSES-03</t>
        </is>
      </c>
      <c r="D82" s="11" t="inlineStr">
        <is>
          <t>Mark session cancelled/no-show</t>
        </is>
      </c>
      <c r="E82" s="11" t="inlineStr">
        <is>
          <t>1. Update a session's status to cancelled or no_show</t>
        </is>
      </c>
      <c r="F82" s="11" t="inlineStr">
        <is>
          <t>Status saves correctly; session excluded from billing eligibility</t>
        </is>
      </c>
      <c r="G82" s="10" t="inlineStr">
        <is>
          <t>Medium</t>
        </is>
      </c>
      <c r="H82" s="10" t="inlineStr">
        <is>
          <t>Pass</t>
        </is>
      </c>
      <c r="I82" s="11" t="inlineStr">
        <is>
          <t>cancelled and no_show saved; neither appears in billable sessions.</t>
        </is>
      </c>
      <c r="J82" s="10" t="n"/>
      <c r="K82" s="10" t="n"/>
    </row>
    <row r="83" ht="45.75" customHeight="1">
      <c r="A83" s="10" t="n">
        <v>82</v>
      </c>
      <c r="B83" s="11" t="inlineStr">
        <is>
          <t>Therapy Sessions</t>
        </is>
      </c>
      <c r="C83" s="10" t="inlineStr">
        <is>
          <t>TSES-04</t>
        </is>
      </c>
      <c r="D83" s="11" t="inlineStr">
        <is>
          <t>Multiple same-day sessions allowed (by design)</t>
        </is>
      </c>
      <c r="E83" s="11" t="inlineStr">
        <is>
          <t>1. Book more than 8 sessions for one therapist on the same day</t>
        </is>
      </c>
      <c r="F83" s="11" t="inlineStr">
        <is>
          <t>System allows it without blocking — confirms the deliberate "flexible, no hard cap" decision</t>
        </is>
      </c>
      <c r="G83" s="10" t="inlineStr">
        <is>
          <t>Low</t>
        </is>
      </c>
      <c r="H83" s="10" t="inlineStr">
        <is>
          <t>Pass</t>
        </is>
      </c>
      <c r="I83" s="11" t="inlineStr">
        <is>
          <t>9 non-overlapping sessions booked for one therapist on one day — no daily cap. (Overlapping times are still rejected.)</t>
        </is>
      </c>
      <c r="J83" s="10" t="n"/>
      <c r="K83" s="10" t="n"/>
    </row>
    <row r="84" ht="45.75" customHeight="1">
      <c r="A84" s="10" t="n">
        <v>83</v>
      </c>
      <c r="B84" s="11" t="inlineStr">
        <is>
          <t>Therapy Sessions</t>
        </is>
      </c>
      <c r="C84" s="10" t="inlineStr">
        <is>
          <t>TSES-05</t>
        </is>
      </c>
      <c r="D84" s="11" t="inlineStr">
        <is>
          <t>booked_by is recorded</t>
        </is>
      </c>
      <c r="E84" s="11" t="inlineStr">
        <is>
          <t>1. Create a session as a specific logged-in user</t>
        </is>
      </c>
      <c r="F84" s="11" t="inlineStr">
        <is>
          <t>booked_by correctly stores that user</t>
        </is>
      </c>
      <c r="G84" s="10" t="inlineStr">
        <is>
          <t>Low</t>
        </is>
      </c>
      <c r="H84" s="10" t="inlineStr">
        <is>
          <t>Pass</t>
        </is>
      </c>
      <c r="I84" s="11" t="inlineStr">
        <is>
          <t>booked_by = logged-in user (admin@daycare.com).</t>
        </is>
      </c>
      <c r="J84" s="10" t="n"/>
      <c r="K84" s="10" t="n"/>
    </row>
    <row r="85" ht="45.75" customHeight="1">
      <c r="A85" s="10" t="n">
        <v>84</v>
      </c>
      <c r="B85" s="11" t="inlineStr">
        <is>
          <t>Therapy Packages</t>
        </is>
      </c>
      <c r="C85" s="10" t="inlineStr">
        <is>
          <t>PKG-01</t>
        </is>
      </c>
      <c r="D85" s="11" t="inlineStr">
        <is>
          <t>Create a single-type package</t>
        </is>
      </c>
      <c r="E85" s="11" t="inlineStr">
        <is>
          <t>1. Admin creates a package (e.g. "OT — 4 Session Package") with a hand-set price</t>
        </is>
      </c>
      <c r="F85" s="11" t="inlineStr">
        <is>
          <t>Package saves; total_sessions derived correctly as 4 from its items</t>
        </is>
      </c>
      <c r="G85" s="10" t="inlineStr">
        <is>
          <t>High</t>
        </is>
      </c>
      <c r="H85" s="10" t="inlineStr">
        <is>
          <t>Pass</t>
        </is>
      </c>
      <c r="I85" s="11" t="inlineStr">
        <is>
          <t>Package saved with hand-set price ৳3,100; total_sessions derived = 4.</t>
        </is>
      </c>
      <c r="J85" s="10" t="n"/>
      <c r="K85" s="10" t="n"/>
    </row>
    <row r="86" ht="45.75" customHeight="1">
      <c r="A86" s="10" t="n">
        <v>85</v>
      </c>
      <c r="B86" s="11" t="inlineStr">
        <is>
          <t>Therapy Packages</t>
        </is>
      </c>
      <c r="C86" s="10" t="inlineStr">
        <is>
          <t>PKG-02</t>
        </is>
      </c>
      <c r="D86" s="11" t="inlineStr">
        <is>
          <t>Create a custom combo package</t>
        </is>
      </c>
      <c r="E86" s="11" t="inlineStr">
        <is>
          <t>1. Admin creates a package with multiple item rows, e.g. 4 OT + 6 ABA + 8 SLT</t>
        </is>
      </c>
      <c r="F86" s="11" t="inlineStr">
        <is>
          <t>All item rows save; derived total_sessions = 18</t>
        </is>
      </c>
      <c r="G86" s="10" t="inlineStr">
        <is>
          <t>High</t>
        </is>
      </c>
      <c r="H86" s="10" t="inlineStr">
        <is>
          <t>Pass</t>
        </is>
      </c>
      <c r="I86" s="11" t="inlineStr">
        <is>
          <t>3 item rows saved (4 OT + 6 ABA + 8 SLT); total_sessions = 18.</t>
        </is>
      </c>
      <c r="J86" s="10" t="n"/>
      <c r="K86" s="10" t="n"/>
    </row>
    <row r="87" ht="45.75" customHeight="1">
      <c r="A87" s="10" t="n">
        <v>86</v>
      </c>
      <c r="B87" s="11" t="inlineStr">
        <is>
          <t>Therapy Packages</t>
        </is>
      </c>
      <c r="C87" s="10" t="inlineStr">
        <is>
          <t>PKG-03</t>
        </is>
      </c>
      <c r="D87" s="11" t="inlineStr">
        <is>
          <t>Package total sessions is accurate</t>
        </is>
      </c>
      <c r="E87" s="11" t="inlineStr">
        <is>
          <t>1. Open any package with 2+ item rows</t>
        </is>
      </c>
      <c r="F87" s="11" t="inlineStr">
        <is>
          <t>Displayed total equals the sum of session_count across its items — not a separately stored/edited number</t>
        </is>
      </c>
      <c r="G87" s="10" t="inlineStr">
        <is>
          <t>Low</t>
        </is>
      </c>
      <c r="H87" s="10" t="inlineStr">
        <is>
          <t>Pass</t>
        </is>
      </c>
      <c r="I87" s="11" t="inlineStr">
        <is>
          <t>Total is derived from item session_count (no stored column); list shows 18.</t>
        </is>
      </c>
      <c r="J87" s="10" t="n"/>
      <c r="K87" s="10" t="n"/>
    </row>
    <row r="88" ht="45.75" customHeight="1">
      <c r="A88" s="10" t="n">
        <v>87</v>
      </c>
      <c r="B88" s="11" t="inlineStr">
        <is>
          <t>Therapy Packages</t>
        </is>
      </c>
      <c r="C88" s="10" t="inlineStr">
        <is>
          <t>PKG-04</t>
        </is>
      </c>
      <c r="D88" s="11" t="inlineStr">
        <is>
          <t>Purchase a package for a child</t>
        </is>
      </c>
      <c r="E88" s="11" t="inlineStr">
        <is>
          <t>1. Select a child
2. Purchase an existing package template</t>
        </is>
      </c>
      <c r="F88" s="11" t="inlineStr">
        <is>
          <t>A child_therapy_packages row is created with a snapshot of items (child_therapy_package_items)</t>
        </is>
      </c>
      <c r="G88" s="10" t="inlineStr">
        <is>
          <t>High</t>
        </is>
      </c>
      <c r="H88" s="10" t="inlineStr">
        <is>
          <t>Pass</t>
        </is>
      </c>
      <c r="I88" s="11" t="inlineStr">
        <is>
          <t>child_therapy_packages row created with item snapshot (OT × 4).</t>
        </is>
      </c>
      <c r="J88" s="10" t="n"/>
      <c r="K88" s="10" t="n"/>
    </row>
    <row r="89" ht="45.75" customHeight="1">
      <c r="A89" s="10" t="n">
        <v>88</v>
      </c>
      <c r="B89" s="11" t="inlineStr">
        <is>
          <t>Therapy Packages</t>
        </is>
      </c>
      <c r="C89" s="10" t="inlineStr">
        <is>
          <t>PKG-05</t>
        </is>
      </c>
      <c r="D89" s="11" t="inlineStr">
        <is>
          <t>Purchase price is editable</t>
        </is>
      </c>
      <c r="E89" s="11" t="inlineStr">
        <is>
          <t>1. During purchase, change the price away from the template's default price
2. Save</t>
        </is>
      </c>
      <c r="F89" s="11" t="inlineStr">
        <is>
          <t>purchase_price stores the edited amount, not the template's original price</t>
        </is>
      </c>
      <c r="G89" s="10" t="inlineStr">
        <is>
          <t>High</t>
        </is>
      </c>
      <c r="H89" s="10" t="inlineStr">
        <is>
          <t>Pass</t>
        </is>
      </c>
      <c r="I89" s="11" t="inlineStr">
        <is>
          <t>purchase_price stored as edited ৳2,800 (template price ৳3,100).</t>
        </is>
      </c>
      <c r="J89" s="10" t="n"/>
      <c r="K89" s="10" t="n"/>
    </row>
    <row r="90" ht="45.75" customHeight="1">
      <c r="A90" s="10" t="n">
        <v>89</v>
      </c>
      <c r="B90" s="11" t="inlineStr">
        <is>
          <t>Therapy Packages</t>
        </is>
      </c>
      <c r="C90" s="10" t="inlineStr">
        <is>
          <t>PKG-06</t>
        </is>
      </c>
      <c r="D90" s="11" t="inlineStr">
        <is>
          <t>Remaining balance calculates correctly</t>
        </is>
      </c>
      <c r="E90" s="11" t="inlineStr">
        <is>
          <t>1. Complete 2 of 4 included OT sessions for a purchased package
2. Check remaining balance</t>
        </is>
      </c>
      <c r="F90" s="11" t="inlineStr">
        <is>
          <t>Remaining shows 2 (included − completed), computed live, not a stored counter</t>
        </is>
      </c>
      <c r="G90" s="10" t="inlineStr">
        <is>
          <t>High</t>
        </is>
      </c>
      <c r="H90" s="10" t="inlineStr">
        <is>
          <t>Pass</t>
        </is>
      </c>
      <c r="I90" s="11" t="inlineStr">
        <is>
          <t>Remaining = 2 (4 included − 2 completed), computed live. Retested with sessions booked from the package on the session form and marked completed.</t>
        </is>
      </c>
      <c r="J90" s="10" t="n"/>
      <c r="K90" s="10" t="n"/>
    </row>
    <row r="91" ht="45.75" customHeight="1">
      <c r="A91" s="10" t="n">
        <v>90</v>
      </c>
      <c r="B91" s="11" t="inlineStr">
        <is>
          <t>Therapy Packages</t>
        </is>
      </c>
      <c r="C91" s="10" t="inlineStr">
        <is>
          <t>PKG-07</t>
        </is>
      </c>
      <c r="D91" s="11" t="inlineStr">
        <is>
          <t>Book a session against a package</t>
        </is>
      </c>
      <c r="E91" s="11" t="inlineStr">
        <is>
          <t>1. Book a new therapy session
2. Choose "from package" and select the child's active package</t>
        </is>
      </c>
      <c r="F91" s="11" t="inlineStr">
        <is>
          <t>Session saves with child_therapy_package_id set to that package</t>
        </is>
      </c>
      <c r="G91" s="10" t="inlineStr">
        <is>
          <t>High</t>
        </is>
      </c>
      <c r="H91" s="10" t="inlineStr">
        <is>
          <t>Pass</t>
        </is>
      </c>
      <c r="I91" s="11" t="inlineStr">
        <is>
          <t>Retested after fix: Therapy Sessions &gt; New/Edit now has a Payment field — "Use package — oldest first", a specific package (shows "x of y left"), or "Pay per session". Session saves with child_therapy_package_id set to that package. Rejected with a message: another child's package, cancelled or expired package, package that doesn't cover the therapy, or no sessions left. Session page shows Payment = package.</t>
        </is>
      </c>
      <c r="J91" s="10" t="n"/>
      <c r="K91" s="10" t="n"/>
    </row>
    <row r="92" ht="45.75" customHeight="1">
      <c r="A92" s="10" t="n">
        <v>91</v>
      </c>
      <c r="B92" s="11" t="inlineStr">
        <is>
          <t>Therapy Packages</t>
        </is>
      </c>
      <c r="C92" s="10" t="inlineStr">
        <is>
          <t>PKG-08</t>
        </is>
      </c>
      <c r="D92" s="11" t="inlineStr">
        <is>
          <t>Package-sourced session isn't billed again</t>
        </is>
      </c>
      <c r="E92" s="11" t="inlineStr">
        <is>
          <t>1. Complete a session booked from a package
2. Open the manual invoice / unbilled sessions screen</t>
        </is>
      </c>
      <c r="F92" s="11" t="inlineStr">
        <is>
          <t>That session does NOT appear as a standalone billable item — it was already prepaid</t>
        </is>
      </c>
      <c r="G92" s="10" t="inlineStr">
        <is>
          <t>High</t>
        </is>
      </c>
      <c r="H92" s="10" t="inlineStr">
        <is>
          <t>Pass</t>
        </is>
      </c>
      <c r="I92" s="11" t="inlineStr">
        <is>
          <t>Completed sessions booked from a package are excluded from the billable/unbilled list on Create Invoice (retested with sessions booked from the package in the UI).</t>
        </is>
      </c>
      <c r="J92" s="10" t="n"/>
      <c r="K92" s="10" t="n"/>
    </row>
    <row r="93" ht="45.75" customHeight="1">
      <c r="A93" s="10" t="n">
        <v>92</v>
      </c>
      <c r="B93" s="11" t="inlineStr">
        <is>
          <t>Therapy Packages</t>
        </is>
      </c>
      <c r="C93" s="10" t="inlineStr">
        <is>
          <t>PKG-09</t>
        </is>
      </c>
      <c r="D93" s="11" t="inlineStr">
        <is>
          <t>Only completed sessions reduce balance</t>
        </is>
      </c>
      <c r="E93" s="11" t="inlineStr">
        <is>
          <t>1. Book a package session
2. Mark it cancelled or no_show instead of completed
3. Recheck remaining balance</t>
        </is>
      </c>
      <c r="F93" s="11" t="inlineStr">
        <is>
          <t>Balance is unchanged — only completed sessions consume from the package</t>
        </is>
      </c>
      <c r="G93" s="10" t="inlineStr">
        <is>
          <t>Medium</t>
        </is>
      </c>
      <c r="H93" s="10" t="inlineStr">
        <is>
          <t>Pass</t>
        </is>
      </c>
      <c r="I93" s="11" t="inlineStr">
        <is>
          <t>Balance unchanged (2) after a cancelled and a no_show session — only completed sessions count.</t>
        </is>
      </c>
      <c r="J93" s="10" t="n"/>
      <c r="K93" s="10" t="n"/>
    </row>
    <row r="94" ht="45.75" customHeight="1">
      <c r="A94" s="10" t="n">
        <v>93</v>
      </c>
      <c r="B94" s="11" t="inlineStr">
        <is>
          <t>Therapy Packages</t>
        </is>
      </c>
      <c r="C94" s="10" t="inlineStr">
        <is>
          <t>PKG-10</t>
        </is>
      </c>
      <c r="D94" s="11" t="inlineStr">
        <is>
          <t>Oldest package consumed first (FIFO)</t>
        </is>
      </c>
      <c r="E94" s="11" t="inlineStr">
        <is>
          <t>1. Give a child two active packages with the same therapy type
2. Book a new session from a package</t>
        </is>
      </c>
      <c r="F94" s="11" t="inlineStr">
        <is>
          <t>The older (earlier purchased_at) package's balance is drawn down first</t>
        </is>
      </c>
      <c r="G94" s="10" t="inlineStr">
        <is>
          <t>Medium</t>
        </is>
      </c>
      <c r="H94" s="10" t="inlineStr">
        <is>
          <t>Pass</t>
        </is>
      </c>
      <c r="I94" s="11" t="inlineStr">
        <is>
          <t>Retested after fix: child with two active OT packages — "Use package — oldest first" drew sessions from the older package (earlier purchased_at) until its balance was used, then moved to the newer one. Scheduled sessions reserve a slot; cancelled / no-show give it back.</t>
        </is>
      </c>
      <c r="J94" s="10" t="n"/>
      <c r="K94" s="10" t="n"/>
    </row>
    <row r="95" ht="45.75" customHeight="1">
      <c r="A95" s="10" t="n">
        <v>94</v>
      </c>
      <c r="B95" s="11" t="inlineStr">
        <is>
          <t>Therapy Packages</t>
        </is>
      </c>
      <c r="C95" s="10" t="inlineStr">
        <is>
          <t>PKG-11</t>
        </is>
      </c>
      <c r="D95" s="11" t="inlineStr">
        <is>
          <t>Leftover balance carries forward</t>
        </is>
      </c>
      <c r="E95" s="11" t="inlineStr">
        <is>
          <t>1. Purchase a second package for a child who still has unused sessions on an older one</t>
        </is>
      </c>
      <c r="F95" s="11" t="inlineStr">
        <is>
          <t>Both packages remain active independently — no merge/migration; old balance is still usable</t>
        </is>
      </c>
      <c r="G95" s="10" t="inlineStr">
        <is>
          <t>High</t>
        </is>
      </c>
      <c r="H95" s="10" t="inlineStr">
        <is>
          <t>Pass</t>
        </is>
      </c>
      <c r="I95" s="11" t="inlineStr">
        <is>
          <t>Second package purchased; both remain active independently and the old balance (2) is still there.</t>
        </is>
      </c>
      <c r="J95" s="10" t="n"/>
      <c r="K95" s="10" t="n"/>
    </row>
    <row r="96" ht="45.75" customHeight="1">
      <c r="A96" s="10" t="n">
        <v>95</v>
      </c>
      <c r="B96" s="11" t="inlineStr">
        <is>
          <t>Therapy Packages</t>
        </is>
      </c>
      <c r="C96" s="10" t="inlineStr">
        <is>
          <t>PKG-12</t>
        </is>
      </c>
      <c r="D96" s="11" t="inlineStr">
        <is>
          <t>Existing balance shown before new purchase price is set</t>
        </is>
      </c>
      <c r="E96" s="11" t="inlineStr">
        <is>
          <t>1. Start a new package purchase for a child who already has remaining sessions</t>
        </is>
      </c>
      <c r="F96" s="11" t="inlineStr">
        <is>
          <t>An info panel shows existing unused sessions before the admin finalizes the price</t>
        </is>
      </c>
      <c r="G96" s="10" t="inlineStr">
        <is>
          <t>Medium</t>
        </is>
      </c>
      <c r="H96" s="10" t="inlineStr">
        <is>
          <t>Pass</t>
        </is>
      </c>
      <c r="I96" s="11" t="inlineStr">
        <is>
          <t>Retested after fix: Purchase Package form now shows an "Existing Balance" panel as soon as the child is picked (before the price is set): each active package with sessions left, purchase/expiry date, invoice no. and per-therapy "x of y left" (booked sessions noted). A child with none shows "OK to buy a new one".</t>
        </is>
      </c>
      <c r="J96" s="10" t="n"/>
      <c r="K96" s="10" t="n"/>
    </row>
    <row r="97" ht="45.75" customHeight="1">
      <c r="A97" s="10" t="n">
        <v>96</v>
      </c>
      <c r="B97" s="11" t="inlineStr">
        <is>
          <t>Therapy Packages</t>
        </is>
      </c>
      <c r="C97" s="10" t="inlineStr">
        <is>
          <t>PKG-13</t>
        </is>
      </c>
      <c r="D97" s="11" t="inlineStr">
        <is>
          <t>Cancel a package</t>
        </is>
      </c>
      <c r="E97" s="11" t="inlineStr">
        <is>
          <t>1. Admin cancels an active child package</t>
        </is>
      </c>
      <c r="F97" s="11" t="inlineStr">
        <is>
          <t>Status becomes cancelled; it no longer offers balance for new session bookings</t>
        </is>
      </c>
      <c r="G97" s="10" t="inlineStr">
        <is>
          <t>Medium</t>
        </is>
      </c>
      <c r="H97" s="10" t="inlineStr">
        <is>
          <t>Pass</t>
        </is>
      </c>
      <c r="I97" s="11" t="inlineStr">
        <is>
          <t>Status → cancelled, and the cancelled package is no longer offered on the session form (booking it directly is rejected).</t>
        </is>
      </c>
      <c r="J97" s="10" t="n"/>
      <c r="K97" s="10" t="n"/>
    </row>
    <row r="98" ht="45.75" customHeight="1">
      <c r="A98" s="10" t="n">
        <v>97</v>
      </c>
      <c r="B98" s="11" t="inlineStr">
        <is>
          <t>Therapy Packages</t>
        </is>
      </c>
      <c r="C98" s="10" t="inlineStr">
        <is>
          <t>PKG-14</t>
        </is>
      </c>
      <c r="D98" s="11" t="inlineStr">
        <is>
          <t>Non-admin blocked from package management</t>
        </is>
      </c>
      <c r="E98" s="11" t="inlineStr">
        <is>
          <t>1. Login as staff — attempt to create/edit a package or purchase one
2. Login as parent — view own child's package</t>
        </is>
      </c>
      <c r="F98" s="11" t="inlineStr">
        <is>
          <t>Staff: view-only per therapy-packages permissions; Parent: read-only, own child only; neither can purchase/cancel</t>
        </is>
      </c>
      <c r="G98" s="10" t="inlineStr">
        <is>
          <t>High</t>
        </is>
      </c>
      <c r="H98" s="10" t="inlineStr">
        <is>
          <t>Pass</t>
        </is>
      </c>
      <c r="I98" s="11" t="inlineStr">
        <is>
          <t>Agreed rule (product owner): staff may buy a package for a child and cancel it, but cannot create/edit package templates — Package Catalog create returns 403 for staff. Parent: read-only, own child only, cannot purchase/cancel (403). Retested: staff template create 403, staff purchase OK (with invoice), parent purchase 403.</t>
        </is>
      </c>
      <c r="J98" s="10" t="n"/>
      <c r="K98" s="10" t="n"/>
    </row>
    <row r="99" ht="45.75" customHeight="1">
      <c r="A99" s="10" t="n">
        <v>98</v>
      </c>
      <c r="B99" s="11" t="inlineStr">
        <is>
          <t>Therapy Billing</t>
        </is>
      </c>
      <c r="C99" s="10" t="inlineStr">
        <is>
          <t>TBILL-01</t>
        </is>
      </c>
      <c r="D99" s="11" t="inlineStr">
        <is>
          <t>Unbilled sessions appear for selection</t>
        </is>
      </c>
      <c r="E99" s="11" t="inlineStr">
        <is>
          <t>1. Complete a therapy session
2. Open the manual invoice creation screen for that child</t>
        </is>
      </c>
      <c r="F99" s="11" t="inlineStr">
        <is>
          <t>The completed session appears in the "unbilled" checklist</t>
        </is>
      </c>
      <c r="G99" s="10" t="inlineStr">
        <is>
          <t>High</t>
        </is>
      </c>
      <c r="H99" s="10" t="inlineStr">
        <is>
          <t>Pass</t>
        </is>
      </c>
      <c r="I99" s="11" t="inlineStr">
        <is>
          <t>Completed standalone session appears in the "Include therapy sessions" list on Create Invoice.</t>
        </is>
      </c>
      <c r="J99" s="10" t="n"/>
      <c r="K99" s="10" t="n"/>
    </row>
    <row r="100" ht="45.75" customHeight="1">
      <c r="A100" s="10" t="n">
        <v>99</v>
      </c>
      <c r="B100" s="11" t="inlineStr">
        <is>
          <t>Therapy Billing</t>
        </is>
      </c>
      <c r="C100" s="10" t="inlineStr">
        <is>
          <t>TBILL-02</t>
        </is>
      </c>
      <c r="D100" s="11" t="inlineStr">
        <is>
          <t>Billed session disappears from the unbilled list</t>
        </is>
      </c>
      <c r="E100" s="11" t="inlineStr">
        <is>
          <t>1. Invoice the session from TBILL-01
2. Reopen the invoice creation screen for the same child</t>
        </is>
      </c>
      <c r="F100" s="11" t="inlineStr">
        <is>
          <t>That session no longer appears (whereDoesntHave invoiceItem check works)</t>
        </is>
      </c>
      <c r="G100" s="10" t="inlineStr">
        <is>
          <t>High</t>
        </is>
      </c>
      <c r="H100" s="10" t="inlineStr">
        <is>
          <t>Pass</t>
        </is>
      </c>
      <c r="I100" s="11" t="inlineStr">
        <is>
          <t>Invoiced on INV-20261021-0005; no longer in the unbilled list.</t>
        </is>
      </c>
      <c r="J100" s="10" t="n"/>
      <c r="K100" s="10" t="n"/>
    </row>
    <row r="101" ht="45.75" customHeight="1">
      <c r="A101" s="10" t="n">
        <v>100</v>
      </c>
      <c r="B101" s="11" t="inlineStr">
        <is>
          <t>Therapy Billing</t>
        </is>
      </c>
      <c r="C101" s="10" t="inlineStr">
        <is>
          <t>TBILL-03</t>
        </is>
      </c>
      <c r="D101" s="11" t="inlineStr">
        <is>
          <t>Therapy-only invoice</t>
        </is>
      </c>
      <c r="E101" s="11" t="inlineStr">
        <is>
          <t>1. Create an invoice selecting only therapy session items</t>
        </is>
      </c>
      <c r="F101" s="11" t="inlineStr">
        <is>
          <t>Invoice type saves as "therapy"</t>
        </is>
      </c>
      <c r="G101" s="10" t="inlineStr">
        <is>
          <t>Medium</t>
        </is>
      </c>
      <c r="H101" s="10" t="inlineStr">
        <is>
          <t>Pass</t>
        </is>
      </c>
      <c r="I101" s="11" t="inlineStr">
        <is>
          <t>Session-only invoice type = therapy.</t>
        </is>
      </c>
      <c r="J101" s="10" t="n"/>
      <c r="K101" s="10" t="n"/>
    </row>
    <row r="102" ht="45.75" customHeight="1">
      <c r="A102" s="10" t="n">
        <v>101</v>
      </c>
      <c r="B102" s="11" t="inlineStr">
        <is>
          <t>Therapy Billing</t>
        </is>
      </c>
      <c r="C102" s="10" t="inlineStr">
        <is>
          <t>TBILL-04</t>
        </is>
      </c>
      <c r="D102" s="11" t="inlineStr">
        <is>
          <t>Mixed invoice</t>
        </is>
      </c>
      <c r="E102" s="11" t="inlineStr">
        <is>
          <t>1. Create an invoice selecting both enrollment and therapy session items together</t>
        </is>
      </c>
      <c r="F102" s="11" t="inlineStr">
        <is>
          <t>Invoice type saves as "mixed"; both line item types appear on one invoice</t>
        </is>
      </c>
      <c r="G102" s="10" t="inlineStr">
        <is>
          <t>High</t>
        </is>
      </c>
      <c r="H102" s="10" t="inlineStr">
        <is>
          <t>Pass</t>
        </is>
      </c>
      <c r="I102" s="11" t="inlineStr">
        <is>
          <t>Tuition + therapy session on one invoice; type = mixed. (Tuition is a manual/catalog item, not auto from enrollment.)</t>
        </is>
      </c>
      <c r="J102" s="10" t="n"/>
      <c r="K102" s="10" t="n"/>
    </row>
    <row r="103" ht="45.75" customHeight="1">
      <c r="A103" s="10" t="n">
        <v>102</v>
      </c>
      <c r="B103" s="11" t="inlineStr">
        <is>
          <t>Therapy Billing</t>
        </is>
      </c>
      <c r="C103" s="10" t="inlineStr">
        <is>
          <t>TBILL-05</t>
        </is>
      </c>
      <c r="D103" s="11" t="inlineStr">
        <is>
          <t>Package purchase generates one invoice item</t>
        </is>
      </c>
      <c r="E103" s="11" t="inlineStr">
        <is>
          <t>1. Purchase a package for a child</t>
        </is>
      </c>
      <c r="F103" s="11" t="inlineStr">
        <is>
          <t>Exactly one invoice_item is created immediately, with child_therapy_package_id set (prepaid)</t>
        </is>
      </c>
      <c r="G103" s="10" t="inlineStr">
        <is>
          <t>High</t>
        </is>
      </c>
      <c r="H103" s="10" t="inlineStr">
        <is>
          <t>Pass</t>
        </is>
      </c>
      <c r="I103" s="11" t="inlineStr">
        <is>
          <t>Retested after fix: Child Packages &gt; Purchase now creates one draft invoice (due in 7 days) for the child's primary parent with exactly one item for the purchase price, child_therapy_package_id set; the package is linked to that invoice. Buying a package on Create Invoice still gives one item. A ৳0 package or a child with no parent is saved without an invoice and the user is told.</t>
        </is>
      </c>
      <c r="J103" s="10" t="n"/>
      <c r="K103" s="10" t="n"/>
    </row>
    <row r="104" ht="45.75" customHeight="1">
      <c r="A104" s="10" t="n">
        <v>103</v>
      </c>
      <c r="B104" s="11" t="inlineStr">
        <is>
          <t>Therapy Billing</t>
        </is>
      </c>
      <c r="C104" s="10" t="inlineStr">
        <is>
          <t>TBILL-06</t>
        </is>
      </c>
      <c r="D104" s="11" t="inlineStr">
        <is>
          <t>Package sessions excluded from per-session billing</t>
        </is>
      </c>
      <c r="E104" s="11" t="inlineStr">
        <is>
          <t>1. Complete several sessions drawn from an active package
2. Run the standalone therapy billing screen</t>
        </is>
      </c>
      <c r="F104" s="11" t="inlineStr">
        <is>
          <t>None of those package-sourced sessions appear in the unbilled list — only true standalone sessions do</t>
        </is>
      </c>
      <c r="G104" s="10" t="inlineStr">
        <is>
          <t>High</t>
        </is>
      </c>
      <c r="H104" s="10" t="inlineStr">
        <is>
          <t>Pass</t>
        </is>
      </c>
      <c r="I104" s="11" t="inlineStr">
        <is>
          <t>Same check as PKG-08: package-sourced completed sessions do not appear in the unbilled list; only standalone sessions do.</t>
        </is>
      </c>
      <c r="J104" s="10" t="n"/>
      <c r="K104" s="10" t="n"/>
    </row>
    <row r="105" ht="45.75" customHeight="1">
      <c r="A105" s="10" t="n">
        <v>104</v>
      </c>
      <c r="B105" s="11" t="inlineStr">
        <is>
          <t>Reports</t>
        </is>
      </c>
      <c r="C105" s="10" t="inlineStr">
        <is>
          <t>REP-01</t>
        </is>
      </c>
      <c r="D105" s="11" t="inlineStr">
        <is>
          <t>Revenue report totals are accurate</t>
        </is>
      </c>
      <c r="E105" s="11" t="inlineStr">
        <is>
          <t>1. Run the Billing/Revenue report for a known date range</t>
        </is>
      </c>
      <c r="F105" s="11" t="inlineStr">
        <is>
          <t>Total invoiced/collected/outstanding match a manual sum of those invoices</t>
        </is>
      </c>
      <c r="G105" s="10" t="inlineStr">
        <is>
          <t>High</t>
        </is>
      </c>
      <c r="H105" s="10" t="inlineStr">
        <is>
          <t>Pass</t>
        </is>
      </c>
      <c r="I105" s="11" t="inlineStr">
        <is>
          <t>This month: invoiced ৳30,650.75, collected ৳4,200.00, outstanding ৳26,450.75 — match a manual sum.</t>
        </is>
      </c>
      <c r="J105" s="10" t="n"/>
      <c r="K105" s="10" t="n"/>
    </row>
    <row r="106" ht="45.75" customHeight="1">
      <c r="A106" s="10" t="n">
        <v>105</v>
      </c>
      <c r="B106" s="11" t="inlineStr">
        <is>
          <t>Reports</t>
        </is>
      </c>
      <c r="C106" s="10" t="inlineStr">
        <is>
          <t>REP-02</t>
        </is>
      </c>
      <c r="D106" s="11" t="inlineStr">
        <is>
          <t>Revenue report type filter</t>
        </is>
      </c>
      <c r="E106" s="11" t="inlineStr">
        <is>
          <t>1. Filter the revenue report by type=therapy</t>
        </is>
      </c>
      <c r="F106" s="11" t="inlineStr">
        <is>
          <t>Only therapy-relevant figures reflect per the intended filter logic</t>
        </is>
      </c>
      <c r="G106" s="10" t="inlineStr">
        <is>
          <t>Medium</t>
        </is>
      </c>
      <c r="H106" s="10" t="inlineStr">
        <is>
          <t>Pass</t>
        </is>
      </c>
      <c r="I106" s="11" t="inlineStr">
        <is>
          <t>type=therapy lists only therapy invoices (2); totals reflect the filtered set.</t>
        </is>
      </c>
      <c r="J106" s="10" t="n"/>
      <c r="K106" s="10" t="n"/>
    </row>
    <row r="107" ht="45.75" customHeight="1">
      <c r="A107" s="10" t="n">
        <v>106</v>
      </c>
      <c r="B107" s="11" t="inlineStr">
        <is>
          <t>Reports</t>
        </is>
      </c>
      <c r="C107" s="10" t="inlineStr">
        <is>
          <t>REP-03</t>
        </is>
      </c>
      <c r="D107" s="11" t="inlineStr">
        <is>
          <t>Outstanding invoices list is correct</t>
        </is>
      </c>
      <c r="E107" s="11" t="inlineStr">
        <is>
          <t>1. Run the Outstanding Invoices report</t>
        </is>
      </c>
      <c r="F107" s="11" t="inlineStr">
        <is>
          <t>Only invoices with status sent/overdue appear, sorted most-overdue first</t>
        </is>
      </c>
      <c r="G107" s="10" t="inlineStr">
        <is>
          <t>High</t>
        </is>
      </c>
      <c r="H107" s="10" t="inlineStr">
        <is>
          <t>N/A</t>
        </is>
      </c>
      <c r="I107" s="11" t="inlineStr">
        <is>
          <t>Outstanding Invoices report not built in current code (only Billing/Revenue and Activity Calendar reports exist). Outstanding balance can be filtered on Billing/Revenue by status.</t>
        </is>
      </c>
      <c r="J107" s="10" t="n"/>
      <c r="K107" s="10" t="n"/>
    </row>
    <row r="108" ht="45.75" customHeight="1">
      <c r="A108" s="10" t="n">
        <v>107</v>
      </c>
      <c r="B108" s="11" t="inlineStr">
        <is>
          <t>Reports</t>
        </is>
      </c>
      <c r="C108" s="10" t="inlineStr">
        <is>
          <t>REP-04</t>
        </is>
      </c>
      <c r="D108" s="11" t="inlineStr">
        <is>
          <t>Days overdue calculation</t>
        </is>
      </c>
      <c r="E108" s="11" t="inlineStr">
        <is>
          <t>1. Check a specific overdue invoice's days_overdue value against today's date</t>
        </is>
      </c>
      <c r="F108" s="11" t="inlineStr">
        <is>
          <t>Value matches an actual day-count calculation</t>
        </is>
      </c>
      <c r="G108" s="10" t="inlineStr">
        <is>
          <t>Medium</t>
        </is>
      </c>
      <c r="H108" s="10" t="inlineStr">
        <is>
          <t>N/A</t>
        </is>
      </c>
      <c r="I108" s="11" t="inlineStr">
        <is>
          <t>No days_overdue calculation exists (depends on the Outstanding Invoices report — REP-03).</t>
        </is>
      </c>
      <c r="J108" s="10" t="n"/>
      <c r="K108" s="10" t="n"/>
    </row>
    <row r="109" ht="45.75" customHeight="1">
      <c r="A109" s="10" t="n">
        <v>108</v>
      </c>
      <c r="B109" s="11" t="inlineStr">
        <is>
          <t>Reports</t>
        </is>
      </c>
      <c r="C109" s="10" t="inlineStr">
        <is>
          <t>REP-05</t>
        </is>
      </c>
      <c r="D109" s="11" t="inlineStr">
        <is>
          <t>Invoice auto-flip to overdue</t>
        </is>
      </c>
      <c r="E109" s="11" t="inlineStr">
        <is>
          <t>1. Let a sent invoice's due_date pass
2. Run the scheduled overdue-check job</t>
        </is>
      </c>
      <c r="F109" s="11" t="inlineStr">
        <is>
          <t>Status updates from sent to overdue automatically</t>
        </is>
      </c>
      <c r="G109" s="10" t="inlineStr">
        <is>
          <t>High</t>
        </is>
      </c>
      <c r="H109" s="10" t="inlineStr">
        <is>
          <t>N/A</t>
        </is>
      </c>
      <c r="I109" s="11" t="inlineStr">
        <is>
          <t>No scheduled overdue-check job exists (routes/console.php has no schedule); invoices are never auto-flipped to overdue. Status "sent" exists (set when a payment link is sent).</t>
        </is>
      </c>
      <c r="J109" s="10" t="n"/>
      <c r="K109" s="10" t="n"/>
    </row>
    <row r="110" ht="45.75" customHeight="1">
      <c r="A110" s="10" t="n">
        <v>109</v>
      </c>
      <c r="B110" s="11" t="inlineStr">
        <is>
          <t>Reports</t>
        </is>
      </c>
      <c r="C110" s="10" t="inlineStr">
        <is>
          <t>REP-06</t>
        </is>
      </c>
      <c r="D110" s="11" t="inlineStr">
        <is>
          <t>Report totals row</t>
        </is>
      </c>
      <c r="E110" s="11" t="inlineStr">
        <is>
          <t>1. Check the summary/total row on each report</t>
        </is>
      </c>
      <c r="F110" s="11" t="inlineStr">
        <is>
          <t>Totals correctly sum the visible rows</t>
        </is>
      </c>
      <c r="G110" s="10" t="inlineStr">
        <is>
          <t>Medium</t>
        </is>
      </c>
      <c r="H110" s="10" t="inlineStr">
        <is>
          <t>Pass</t>
        </is>
      </c>
      <c r="I110" s="11" t="inlineStr">
        <is>
          <t>Print view totals row ৳32,250.75 equals the sum of listed (non-cancelled) rows. On-screen report shows totals in the summary cards (no table totals row).</t>
        </is>
      </c>
      <c r="J110" s="10" t="n"/>
      <c r="K110" s="10" t="n"/>
    </row>
    <row r="111" ht="45.75" customHeight="1">
      <c r="A111" s="10" t="n">
        <v>110</v>
      </c>
      <c r="B111" s="11" t="inlineStr">
        <is>
          <t>Announcements</t>
        </is>
      </c>
      <c r="C111" s="10" t="inlineStr">
        <is>
          <t>ANN-01</t>
        </is>
      </c>
      <c r="D111" s="11" t="inlineStr">
        <is>
          <t>Audience targeting</t>
        </is>
      </c>
      <c r="E111" s="11" t="inlineStr">
        <is>
          <t>1. Staff posts an announcement with audience=parents</t>
        </is>
      </c>
      <c r="F111" s="11" t="inlineStr">
        <is>
          <t>Only parent accounts see it; staff/admin-only announcements stay hidden from parents</t>
        </is>
      </c>
      <c r="G111" s="10" t="inlineStr">
        <is>
          <t>Medium</t>
        </is>
      </c>
      <c r="H111" s="10" t="inlineStr">
        <is>
          <t>Pass</t>
        </is>
      </c>
      <c r="I111" s="11" t="inlineStr">
        <is>
          <t>Retested after fix: parents see only live parent/everyone notices on the parent app, home page and /admin/announcements; staff-only notices are hidden (also via audience filter, and by direct URL = 404). Create/edit/delete now require announcements.create (admins always): parents get 403 and see no buttons. Note: staff can post only if granted announcements.create in Role Permissions — tested: notice posted for parents then appears in the parent app.</t>
        </is>
      </c>
      <c r="J111" s="10" t="n"/>
      <c r="K111" s="10" t="n"/>
    </row>
    <row r="112" ht="45.75" customHeight="1">
      <c r="A112" s="10" t="n">
        <v>111</v>
      </c>
      <c r="B112" s="11" t="inlineStr">
        <is>
          <t>Announcements</t>
        </is>
      </c>
      <c r="C112" s="10" t="inlineStr">
        <is>
          <t>ANN-02</t>
        </is>
      </c>
      <c r="D112" s="11" t="inlineStr">
        <is>
          <t>Expired announcement hides</t>
        </is>
      </c>
      <c r="E112" s="11" t="inlineStr">
        <is>
          <t>1. Set expires_at to a past date on an announcement</t>
        </is>
      </c>
      <c r="F112" s="11" t="inlineStr">
        <is>
          <t>It no longer displays to any audience</t>
        </is>
      </c>
      <c r="G112" s="10" t="inlineStr">
        <is>
          <t>Low</t>
        </is>
      </c>
      <c r="H112" s="10" t="inlineStr">
        <is>
          <t>Pass</t>
        </is>
      </c>
      <c r="I112" s="11" t="inlineStr">
        <is>
          <t>Expired notice hidden from parent app and public home page ticker (still listed for admins with status Expired).</t>
        </is>
      </c>
      <c r="J112" s="10" t="n"/>
      <c r="K112" s="10" t="n"/>
    </row>
    <row r="113" ht="45.75" customHeight="1">
      <c r="A113" s="10" t="n">
        <v>112</v>
      </c>
      <c r="B113" s="11" t="inlineStr">
        <is>
          <t>Announcements</t>
        </is>
      </c>
      <c r="C113" s="10" t="inlineStr">
        <is>
          <t>ANN-03</t>
        </is>
      </c>
      <c r="D113" s="11" t="inlineStr">
        <is>
          <t>Permission-gated visibility</t>
        </is>
      </c>
      <c r="E113" s="11" t="inlineStr">
        <is>
          <t>1. Login as a role without announcements.view-any</t>
        </is>
      </c>
      <c r="F113" s="11" t="inlineStr">
        <is>
          <t>Announcements page/menu item is inaccessible</t>
        </is>
      </c>
      <c r="G113" s="10" t="inlineStr">
        <is>
          <t>Medium</t>
        </is>
      </c>
      <c r="H113" s="10" t="inlineStr">
        <is>
          <t>Pass</t>
        </is>
      </c>
      <c r="I113" s="11" t="inlineStr">
        <is>
          <t>User without announcements.view-any gets 403 (note: parent and staff roles both have this permission by default).</t>
        </is>
      </c>
      <c r="J113" s="10" t="n"/>
      <c r="K113" s="10" t="n"/>
    </row>
    <row r="114" ht="45.75" customHeight="1">
      <c r="A114" s="10" t="n">
        <v>113</v>
      </c>
      <c r="B114" s="11" t="inlineStr">
        <is>
          <t>Child Safety QR</t>
        </is>
      </c>
      <c r="C114" s="10" t="inlineStr">
        <is>
          <t>SAFE-01</t>
        </is>
      </c>
      <c r="D114" s="11" t="inlineStr">
        <is>
          <t>Generate a safety tag</t>
        </is>
      </c>
      <c r="E114" s="11" t="inlineStr">
        <is>
          <t>1. From a child's profile, generate a new safety tag</t>
        </is>
      </c>
      <c r="F114" s="11" t="inlineStr">
        <is>
          <t>A unique token and QR image are created and saved</t>
        </is>
      </c>
      <c r="G114" s="10" t="inlineStr">
        <is>
          <t>High</t>
        </is>
      </c>
      <c r="H114" s="10" t="inlineStr">
        <is>
          <t>Pass</t>
        </is>
      </c>
      <c r="I114" s="11" t="inlineStr">
        <is>
          <t>Unique token (32 chars) and QR image created.</t>
        </is>
      </c>
      <c r="J114" s="10" t="n"/>
      <c r="K114" s="10" t="n"/>
    </row>
    <row r="115" ht="45.75" customHeight="1">
      <c r="A115" s="10" t="n">
        <v>114</v>
      </c>
      <c r="B115" s="11" t="inlineStr">
        <is>
          <t>Child Safety QR</t>
        </is>
      </c>
      <c r="C115" s="10" t="inlineStr">
        <is>
          <t>SAFE-02</t>
        </is>
      </c>
      <c r="D115" s="11" t="inlineStr">
        <is>
          <t>Scan loads the public card</t>
        </is>
      </c>
      <c r="E115" s="11" t="inlineStr">
        <is>
          <t>1. Open the QR's URL in a browser with no login</t>
        </is>
      </c>
      <c r="F115" s="11" t="inlineStr">
        <is>
          <t>The safety card page loads successfully, no auth required</t>
        </is>
      </c>
      <c r="G115" s="10" t="inlineStr">
        <is>
          <t>High</t>
        </is>
      </c>
      <c r="H115" s="10" t="inlineStr">
        <is>
          <t>Pass</t>
        </is>
      </c>
      <c r="I115" s="11" t="inlineStr">
        <is>
          <t>Public card loads with no login.</t>
        </is>
      </c>
      <c r="J115" s="10" t="n"/>
      <c r="K115" s="10" t="n"/>
    </row>
    <row r="116" ht="45.75" customHeight="1">
      <c r="A116" s="10" t="n">
        <v>115</v>
      </c>
      <c r="B116" s="11" t="inlineStr">
        <is>
          <t>Child Safety QR</t>
        </is>
      </c>
      <c r="C116" s="10" t="inlineStr">
        <is>
          <t>SAFE-03</t>
        </is>
      </c>
      <c r="D116" s="11" t="inlineStr">
        <is>
          <t>Card shows minimal info only</t>
        </is>
      </c>
      <c r="E116" s="11" t="inlineStr">
        <is>
          <t>1. Inspect the rendered public card</t>
        </is>
      </c>
      <c r="F116" s="11" t="inlineStr">
        <is>
          <t>Only first name + phone numbers shown — no last name, no address, no medical notes</t>
        </is>
      </c>
      <c r="G116" s="10" t="inlineStr">
        <is>
          <t>High</t>
        </is>
      </c>
      <c r="H116" s="10" t="inlineStr">
        <is>
          <t>Pass</t>
        </is>
      </c>
      <c r="I116" s="11" t="inlineStr">
        <is>
          <t>Child shown by first name only; no child last name, address, allergies or medical notes. Note: the emergency contact's full name is shown on the call button (e.g. "Zakir Rahman"), which can reveal the family surname.</t>
        </is>
      </c>
      <c r="J116" s="10" t="n"/>
      <c r="K116" s="10" t="n"/>
    </row>
    <row r="117" ht="45.75" customHeight="1">
      <c r="A117" s="10" t="n">
        <v>116</v>
      </c>
      <c r="B117" s="11" t="inlineStr">
        <is>
          <t>Child Safety QR</t>
        </is>
      </c>
      <c r="C117" s="10" t="inlineStr">
        <is>
          <t>SAFE-04</t>
        </is>
      </c>
      <c r="D117" s="11" t="inlineStr">
        <is>
          <t>Call Guardian button works</t>
        </is>
      </c>
      <c r="E117" s="11" t="inlineStr">
        <is>
          <t>1. Tap/click the Call Guardian button on a mobile device</t>
        </is>
      </c>
      <c r="F117" s="11" t="inlineStr">
        <is>
          <t>Correct parent phone number is dialed via tel: link</t>
        </is>
      </c>
      <c r="G117" s="10" t="inlineStr">
        <is>
          <t>Medium</t>
        </is>
      </c>
      <c r="H117" s="10" t="inlineStr">
        <is>
          <t>Pass</t>
        </is>
      </c>
      <c r="I117" s="11" t="inlineStr">
        <is>
          <t>Call Guardian uses tel:01711000001 (primary guardian mobile).</t>
        </is>
      </c>
      <c r="J117" s="10" t="n"/>
      <c r="K117" s="10" t="n"/>
    </row>
    <row r="118" ht="45.75" customHeight="1">
      <c r="A118" s="10" t="n">
        <v>117</v>
      </c>
      <c r="B118" s="11" t="inlineStr">
        <is>
          <t>Child Safety QR</t>
        </is>
      </c>
      <c r="C118" s="10" t="inlineStr">
        <is>
          <t>SAFE-05</t>
        </is>
      </c>
      <c r="D118" s="11" t="inlineStr">
        <is>
          <t>Found report with location</t>
        </is>
      </c>
      <c r="E118" s="11" t="inlineStr">
        <is>
          <t>1. Submit "I found this child" and allow location access</t>
        </is>
      </c>
      <c r="F118" s="11" t="inlineStr">
        <is>
          <t>Report saves with latitude/longitude populated</t>
        </is>
      </c>
      <c r="G118" s="10" t="inlineStr">
        <is>
          <t>High</t>
        </is>
      </c>
      <c r="H118" s="10" t="inlineStr">
        <is>
          <t>Pass</t>
        </is>
      </c>
      <c r="I118" s="11" t="inlineStr">
        <is>
          <t>Found report saved with lat/lng (23.7808000, 90.4170000).</t>
        </is>
      </c>
      <c r="J118" s="10" t="n"/>
      <c r="K118" s="10" t="n"/>
    </row>
    <row r="119" ht="45.75" customHeight="1">
      <c r="A119" s="10" t="n">
        <v>118</v>
      </c>
      <c r="B119" s="11" t="inlineStr">
        <is>
          <t>Child Safety QR</t>
        </is>
      </c>
      <c r="C119" s="10" t="inlineStr">
        <is>
          <t>SAFE-06</t>
        </is>
      </c>
      <c r="D119" s="11" t="inlineStr">
        <is>
          <t>Found report without location</t>
        </is>
      </c>
      <c r="E119" s="11" t="inlineStr">
        <is>
          <t>1. Submit the same form but deny location permission</t>
        </is>
      </c>
      <c r="F119" s="11" t="inlineStr">
        <is>
          <t>Report still saves successfully with lat/lng left null</t>
        </is>
      </c>
      <c r="G119" s="10" t="inlineStr">
        <is>
          <t>Medium</t>
        </is>
      </c>
      <c r="H119" s="10" t="inlineStr">
        <is>
          <t>Pass</t>
        </is>
      </c>
      <c r="I119" s="11" t="inlineStr">
        <is>
          <t>Report saved with lat/lng null.</t>
        </is>
      </c>
      <c r="J119" s="10" t="n"/>
      <c r="K119" s="10" t="n"/>
    </row>
    <row r="120" ht="45.75" customHeight="1">
      <c r="A120" s="10" t="n">
        <v>119</v>
      </c>
      <c r="B120" s="11" t="inlineStr">
        <is>
          <t>Child Safety QR</t>
        </is>
      </c>
      <c r="C120" s="10" t="inlineStr">
        <is>
          <t>SAFE-07</t>
        </is>
      </c>
      <c r="D120" s="11" t="inlineStr">
        <is>
          <t>Guardian receives the alert</t>
        </is>
      </c>
      <c r="E120" s="11" t="inlineStr">
        <is>
          <t>1. Submit a found report
2. Check the guardian's phone</t>
        </is>
      </c>
      <c r="F120" s="11" t="inlineStr">
        <is>
          <t>SMS/WhatsApp alert arrives with a map link and finder's contact info</t>
        </is>
      </c>
      <c r="G120" s="10" t="inlineStr">
        <is>
          <t>High</t>
        </is>
      </c>
      <c r="H120" s="10" t="inlineStr">
        <is>
          <t>N/A</t>
        </is>
      </c>
      <c r="I120" s="11" t="inlineStr">
        <is>
          <t>No SMS/WhatsApp provider integrated — found reports are saved (SAFE-05/06) but no alert is sent to the guardian, and there is no admin screen listing found reports yet.</t>
        </is>
      </c>
      <c r="J120" s="10" t="n"/>
      <c r="K120" s="10" t="n"/>
    </row>
    <row r="121" ht="45.75" customHeight="1">
      <c r="A121" s="10" t="n">
        <v>120</v>
      </c>
      <c r="B121" s="11" t="inlineStr">
        <is>
          <t>Child Safety QR</t>
        </is>
      </c>
      <c r="C121" s="10" t="inlineStr">
        <is>
          <t>SAFE-08</t>
        </is>
      </c>
      <c r="D121" s="11" t="inlineStr">
        <is>
          <t>Deactivated tag returns 404</t>
        </is>
      </c>
      <c r="E121" s="11" t="inlineStr">
        <is>
          <t>1. Deactivate a safety tag
2. Revisit its QR URL</t>
        </is>
      </c>
      <c r="F121" s="11" t="inlineStr">
        <is>
          <t>Page returns 404, does not show stale child data</t>
        </is>
      </c>
      <c r="G121" s="10" t="inlineStr">
        <is>
          <t>High</t>
        </is>
      </c>
      <c r="H121" s="10" t="inlineStr">
        <is>
          <t>Pass</t>
        </is>
      </c>
      <c r="I121" s="11" t="inlineStr">
        <is>
          <t>Deactivated tag URL returns 404.</t>
        </is>
      </c>
      <c r="J121" s="10" t="n"/>
      <c r="K121" s="10" t="n"/>
    </row>
    <row r="122" ht="45.75" customHeight="1">
      <c r="A122" s="10" t="n">
        <v>121</v>
      </c>
      <c r="B122" s="11" t="inlineStr">
        <is>
          <t>Security &amp; Non-Functional</t>
        </is>
      </c>
      <c r="C122" s="10" t="inlineStr">
        <is>
          <t>SEC-01</t>
        </is>
      </c>
      <c r="D122" s="11" t="inlineStr">
        <is>
          <t>Session regenerates on login</t>
        </is>
      </c>
      <c r="E122" s="11" t="inlineStr">
        <is>
          <t>1. Inspect the session ID before and after a successful login</t>
        </is>
      </c>
      <c r="F122" s="11" t="inlineStr">
        <is>
          <t>Session ID changes after login (fixation protection)</t>
        </is>
      </c>
      <c r="G122" s="10" t="inlineStr">
        <is>
          <t>Medium</t>
        </is>
      </c>
      <c r="H122" s="10" t="inlineStr">
        <is>
          <t>Pass</t>
        </is>
      </c>
      <c r="I122" s="11" t="inlineStr">
        <is>
          <t>AuthController calls session()-&gt;regenerate() after successful login (and on register); logout invalidates + regenerates token.</t>
        </is>
      </c>
      <c r="J122" s="10" t="n"/>
      <c r="K122" s="10" t="n"/>
    </row>
    <row r="123" ht="45.75" customHeight="1">
      <c r="A123" s="10" t="n">
        <v>122</v>
      </c>
      <c r="B123" s="11" t="inlineStr">
        <is>
          <t>Security &amp; Non-Functional</t>
        </is>
      </c>
      <c r="C123" s="10" t="inlineStr">
        <is>
          <t>SEC-02</t>
        </is>
      </c>
      <c r="D123" s="11" t="inlineStr">
        <is>
          <t>CSRF protection</t>
        </is>
      </c>
      <c r="E123" s="11" t="inlineStr">
        <is>
          <t>1. Attempt to submit a POST form without a valid CSRF token</t>
        </is>
      </c>
      <c r="F123" s="11" t="inlineStr">
        <is>
          <t>Request is rejected (419 error)</t>
        </is>
      </c>
      <c r="G123" s="10" t="inlineStr">
        <is>
          <t>High</t>
        </is>
      </c>
      <c r="H123" s="10" t="inlineStr">
        <is>
          <t>Pass</t>
        </is>
      </c>
      <c r="I123" s="11" t="inlineStr">
        <is>
          <t>POST without CSRF token rejected with 419. (Only SSLCommerz callback URLs are intentionally excluded.)</t>
        </is>
      </c>
      <c r="J123" s="10" t="n"/>
      <c r="K123" s="10" t="n"/>
    </row>
    <row r="124" ht="45.75" customHeight="1">
      <c r="A124" s="10" t="n">
        <v>123</v>
      </c>
      <c r="B124" s="11" t="inlineStr">
        <is>
          <t>Security &amp; Non-Functional</t>
        </is>
      </c>
      <c r="C124" s="10" t="inlineStr">
        <is>
          <t>SEC-03</t>
        </is>
      </c>
      <c r="D124" s="11" t="inlineStr">
        <is>
          <t>Public routes are rate-limited</t>
        </is>
      </c>
      <c r="E124" s="11" t="inlineStr">
        <is>
          <t>1. Rapidly hit a public /s/{token} URL more than 30 times in a minute</t>
        </is>
      </c>
      <c r="F124" s="11" t="inlineStr">
        <is>
          <t>Requests beyond the limit are throttled/rejected</t>
        </is>
      </c>
      <c r="G124" s="10" t="inlineStr">
        <is>
          <t>Medium</t>
        </is>
      </c>
      <c r="H124" s="10" t="inlineStr">
        <is>
          <t>Pass</t>
        </is>
      </c>
      <c r="I124" s="11" t="inlineStr">
        <is>
          <t>Request #31 within a minute returned 429 (limit 30/min).</t>
        </is>
      </c>
      <c r="J124" s="10" t="n"/>
      <c r="K124" s="10" t="n"/>
    </row>
    <row r="125" ht="45.75" customHeight="1">
      <c r="A125" s="10" t="n">
        <v>124</v>
      </c>
      <c r="B125" s="11" t="inlineStr">
        <is>
          <t>Security &amp; Non-Functional</t>
        </is>
      </c>
      <c r="C125" s="10" t="inlineStr">
        <is>
          <t>SEC-04</t>
        </is>
      </c>
      <c r="D125" s="11" t="inlineStr">
        <is>
          <t>Public page is not indexable</t>
        </is>
      </c>
      <c r="E125" s="11" t="inlineStr">
        <is>
          <t>1. View the safety card page's HTML source</t>
        </is>
      </c>
      <c r="F125" s="11" t="inlineStr">
        <is>
          <t>A &lt;meta name="robots" content="noindex, nofollow"&gt; tag is present</t>
        </is>
      </c>
      <c r="G125" s="10" t="inlineStr">
        <is>
          <t>Low</t>
        </is>
      </c>
      <c r="H125" s="10" t="inlineStr">
        <is>
          <t>Pass</t>
        </is>
      </c>
      <c r="I125" s="11" t="inlineStr">
        <is>
          <t>noindex, nofollow meta present on the safety card.</t>
        </is>
      </c>
      <c r="J125" s="10" t="n"/>
      <c r="K125" s="10" t="n"/>
    </row>
    <row r="126" ht="45.75" customHeight="1">
      <c r="A126" s="10" t="n">
        <v>125</v>
      </c>
      <c r="B126" s="11" t="inlineStr">
        <is>
          <t>Security &amp; Non-Functional</t>
        </is>
      </c>
      <c r="C126" s="10" t="inlineStr">
        <is>
          <t>SEC-05</t>
        </is>
      </c>
      <c r="D126" s="11" t="inlineStr">
        <is>
          <t>ID-guessing is blocked</t>
        </is>
      </c>
      <c r="E126" s="11" t="inlineStr">
        <is>
          <t>1. As a parent, try sequential child IDs in the URL that aren't theirs</t>
        </is>
      </c>
      <c r="F126" s="11" t="inlineStr">
        <is>
          <t>Every unauthorized ID returns 403, not the child's data</t>
        </is>
      </c>
      <c r="G126" s="10" t="inlineStr">
        <is>
          <t>High</t>
        </is>
      </c>
      <c r="H126" s="10" t="inlineStr">
        <is>
          <t>Pass</t>
        </is>
      </c>
      <c r="I126" s="11" t="inlineStr">
        <is>
          <t>All 5 other children's IDs return 403 for the parent; parent app child switch also rejects others.</t>
        </is>
      </c>
      <c r="J126" s="10" t="n"/>
      <c r="K126" s="10" t="n"/>
    </row>
    <row r="127" ht="55.5" customHeight="1">
      <c r="A127" s="10" t="n">
        <v>126</v>
      </c>
      <c r="B127" s="11" t="inlineStr">
        <is>
          <t>Security &amp; Non-Functional</t>
        </is>
      </c>
      <c r="C127" s="10" t="inlineStr">
        <is>
          <t>SEC-06</t>
        </is>
      </c>
      <c r="D127" s="11" t="inlineStr">
        <is>
          <t>Demo routes removed before production</t>
        </is>
      </c>
      <c r="E127" s="11" t="inlineStr">
        <is>
          <t>1. Check the production route list for any /demo/* AdminLTE routes</t>
        </is>
      </c>
      <c r="F127" s="11" t="inlineStr">
        <is>
          <t>None are present</t>
        </is>
      </c>
      <c r="G127" s="10" t="inlineStr">
        <is>
          <t>Low</t>
        </is>
      </c>
      <c r="H127" s="10" t="inlineStr">
        <is>
          <t>Pass</t>
        </is>
      </c>
      <c r="I127" s="11" t="inlineStr">
        <is>
          <t>Retested after fix: AdminLTE demo pages and the public /docs viewer are no longer registered (/demo/* and /docs return 404). Controlled by ADMINLTE_DEMO / ADMINLTE_DOCS in .env (default off).</t>
        </is>
      </c>
      <c r="J127" s="10" t="n"/>
      <c r="K127" s="10" t="n"/>
    </row>
  </sheetData>
  <autoFilter ref="A1:K127"/>
  <conditionalFormatting sqref="G2:G127">
    <cfRule type="cellIs" priority="6" operator="equal" dxfId="4">
      <formula>"High"</formula>
    </cfRule>
  </conditionalFormatting>
  <conditionalFormatting sqref="H2:H127">
    <cfRule type="cellIs" priority="2" operator="equal" dxfId="3">
      <formula>"Pass"</formula>
    </cfRule>
    <cfRule type="cellIs" priority="3" operator="equal" dxfId="2">
      <formula>"Fail"</formula>
    </cfRule>
    <cfRule type="cellIs" priority="4" operator="equal" dxfId="1">
      <formula>"Blocked"</formula>
    </cfRule>
    <cfRule type="cellIs" priority="5" operator="equal" dxfId="0">
      <formula>"Not Tested"</formula>
    </cfRule>
  </conditionalFormatting>
  <dataValidations count="2">
    <dataValidation sqref="H2:H127" showDropDown="0" showInputMessage="0" showErrorMessage="0" allowBlank="1" errorTitle="Invalid entry" error="Please choose a value from the list." type="list">
      <formula1>"Not Tested,Pass,Fail,Blocked,N/A"</formula1>
      <formula2>0</formula2>
    </dataValidation>
    <dataValidation sqref="G2:G127" showDropDown="0" showInputMessage="0" showErrorMessage="0" allowBlank="1" type="list">
      <formula1>"High,Medium,Low"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2026-09-26T04:29:49Z</dcterms:created>
  <dcterms:modified xsi:type="dcterms:W3CDTF">2026-10-21T05:11:45Z</dcterms:modified>
  <cp:lastModifiedBy>Mohammad Shamvil Hossain</cp:lastModifiedBy>
  <cp:revision>0</cp:revision>
</cp:coreProperties>
</file>