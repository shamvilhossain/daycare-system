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6" tabRatio="500" activeTab="2"/>
  </bookViews>
  <sheets>
    <sheet name="Instructions" sheetId="1" r:id="rId1"/>
    <sheet name="Summary" sheetId="2" r:id="rId2"/>
    <sheet name="UAT Checklist" sheetId="3" r:id="rId3"/>
  </sheets>
  <definedNames>
    <definedName name="_xlnm._FilterDatabase" localSheetId="2" hidden="1">'UAT Checklist'!$A$1:$K$111</definedName>
    <definedName name="_xlnm.Print_Area" localSheetId="0">Instructions!$A$1:$C$27</definedName>
    <definedName name="_xlnm.Print_Area" localSheetId="1">Summary!$A$1:$I$27</definedName>
    <definedName name="_xlnm.Print_Area" localSheetId="2">'UAT Checklist'!$A$1:$K$111</definedName>
    <definedName name="_xlnm.Print_Titles" localSheetId="2">'UAT Checklist'!$1:$1</definedName>
  </definedName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6" i="2" l="1"/>
  <c r="G26" i="2"/>
  <c r="F26" i="2"/>
  <c r="E26" i="2"/>
  <c r="I26" i="2" s="1"/>
  <c r="D26" i="2"/>
  <c r="C26" i="2"/>
  <c r="H25" i="2"/>
  <c r="G25" i="2"/>
  <c r="F25" i="2"/>
  <c r="E25" i="2"/>
  <c r="I25" i="2" s="1"/>
  <c r="D25" i="2"/>
  <c r="C25" i="2"/>
  <c r="H24" i="2"/>
  <c r="G24" i="2"/>
  <c r="F24" i="2"/>
  <c r="E24" i="2"/>
  <c r="I24" i="2" s="1"/>
  <c r="D24" i="2"/>
  <c r="C24" i="2"/>
  <c r="H23" i="2"/>
  <c r="G23" i="2"/>
  <c r="F23" i="2"/>
  <c r="E23" i="2"/>
  <c r="I23" i="2" s="1"/>
  <c r="D23" i="2"/>
  <c r="C23" i="2"/>
  <c r="H22" i="2"/>
  <c r="G22" i="2"/>
  <c r="F22" i="2"/>
  <c r="E22" i="2"/>
  <c r="I22" i="2" s="1"/>
  <c r="D22" i="2"/>
  <c r="C22" i="2"/>
  <c r="H21" i="2"/>
  <c r="G21" i="2"/>
  <c r="F21" i="2"/>
  <c r="E21" i="2"/>
  <c r="D21" i="2"/>
  <c r="C21" i="2"/>
  <c r="H20" i="2"/>
  <c r="G20" i="2"/>
  <c r="F20" i="2"/>
  <c r="E20" i="2"/>
  <c r="I20" i="2" s="1"/>
  <c r="D20" i="2"/>
  <c r="C20" i="2"/>
  <c r="H19" i="2"/>
  <c r="G19" i="2"/>
  <c r="F19" i="2"/>
  <c r="E19" i="2"/>
  <c r="I19" i="2" s="1"/>
  <c r="D19" i="2"/>
  <c r="C19" i="2"/>
  <c r="H18" i="2"/>
  <c r="G18" i="2"/>
  <c r="F18" i="2"/>
  <c r="E18" i="2"/>
  <c r="I18" i="2" s="1"/>
  <c r="D18" i="2"/>
  <c r="C18" i="2"/>
  <c r="H17" i="2"/>
  <c r="G17" i="2"/>
  <c r="F17" i="2"/>
  <c r="E17" i="2"/>
  <c r="I17" i="2" s="1"/>
  <c r="D17" i="2"/>
  <c r="C17" i="2"/>
  <c r="H16" i="2"/>
  <c r="G16" i="2"/>
  <c r="F16" i="2"/>
  <c r="E16" i="2"/>
  <c r="I16" i="2" s="1"/>
  <c r="D16" i="2"/>
  <c r="C16" i="2"/>
  <c r="H15" i="2"/>
  <c r="G15" i="2"/>
  <c r="F15" i="2"/>
  <c r="E15" i="2"/>
  <c r="I15" i="2" s="1"/>
  <c r="D15" i="2"/>
  <c r="C15" i="2"/>
  <c r="H14" i="2"/>
  <c r="G14" i="2"/>
  <c r="F14" i="2"/>
  <c r="E14" i="2"/>
  <c r="I14" i="2" s="1"/>
  <c r="D14" i="2"/>
  <c r="C14" i="2"/>
  <c r="H13" i="2"/>
  <c r="G13" i="2"/>
  <c r="F13" i="2"/>
  <c r="E13" i="2"/>
  <c r="I13" i="2" s="1"/>
  <c r="D13" i="2"/>
  <c r="C13" i="2"/>
  <c r="H12" i="2"/>
  <c r="G12" i="2"/>
  <c r="F12" i="2"/>
  <c r="E12" i="2"/>
  <c r="I12" i="2" s="1"/>
  <c r="D12" i="2"/>
  <c r="C12" i="2"/>
  <c r="H11" i="2"/>
  <c r="G11" i="2"/>
  <c r="F11" i="2"/>
  <c r="E11" i="2"/>
  <c r="I11" i="2" s="1"/>
  <c r="D11" i="2"/>
  <c r="C11" i="2"/>
  <c r="H10" i="2"/>
  <c r="G10" i="2"/>
  <c r="F10" i="2"/>
  <c r="E10" i="2"/>
  <c r="I10" i="2" s="1"/>
  <c r="D10" i="2"/>
  <c r="C10" i="2"/>
  <c r="H9" i="2"/>
  <c r="G9" i="2"/>
  <c r="F9" i="2"/>
  <c r="E9" i="2"/>
  <c r="I9" i="2" s="1"/>
  <c r="D9" i="2"/>
  <c r="C9" i="2"/>
  <c r="H8" i="2"/>
  <c r="G8" i="2"/>
  <c r="F8" i="2"/>
  <c r="E8" i="2"/>
  <c r="I8" i="2" s="1"/>
  <c r="D8" i="2"/>
  <c r="C8" i="2"/>
  <c r="H7" i="2"/>
  <c r="G7" i="2"/>
  <c r="F7" i="2"/>
  <c r="E7" i="2"/>
  <c r="I7" i="2" s="1"/>
  <c r="D7" i="2"/>
  <c r="C7" i="2"/>
  <c r="H6" i="2"/>
  <c r="G6" i="2"/>
  <c r="F6" i="2"/>
  <c r="E6" i="2"/>
  <c r="I6" i="2" s="1"/>
  <c r="D6" i="2"/>
  <c r="C6" i="2"/>
  <c r="C27" i="2" s="1"/>
  <c r="H27" i="2" l="1"/>
  <c r="D27" i="2"/>
  <c r="G27" i="2"/>
  <c r="F27" i="2"/>
  <c r="I21" i="2"/>
  <c r="E27" i="2"/>
  <c r="I27" i="2" s="1"/>
</calcChain>
</file>

<file path=xl/sharedStrings.xml><?xml version="1.0" encoding="utf-8"?>
<sst xmlns="http://schemas.openxmlformats.org/spreadsheetml/2006/main" count="835" uniqueCount="505">
  <si>
    <t>Emagine U At Play — UAT Checklist</t>
  </si>
  <si>
    <t>End-to-end User Acceptance Testing checklist for the daycare + therapy management system</t>
  </si>
  <si>
    <t>How to use this workbook</t>
  </si>
  <si>
    <t>1. Open the "UAT Checklist" tab. It lists every test case across all 21 modules, in build order.</t>
  </si>
  <si>
    <t>2. Work through it top to bottom, or use the filter arrows on row 1 to test one module at a time.</t>
  </si>
  <si>
    <t>3. For each row: perform the Steps to Execute, compare the real result to Expected Result, then fill in Status, Actual Result / Comments, Tested By, and Date Tested.</t>
  </si>
  <si>
    <t>4. Only edit the columns Status, Actual Result / Comments, Tested By, and Date Tested — every other column is the test spec itself and shouldn't be changed.</t>
  </si>
  <si>
    <t>5. Check the "Summary" tab any time for a live pass/fail count per module — it updates automatically from your Status entries.</t>
  </si>
  <si>
    <t>Status column legend</t>
  </si>
  <si>
    <t>Not Tested — default state, not yet attempted</t>
  </si>
  <si>
    <t>Pass — behaved exactly as Expected Result describes</t>
  </si>
  <si>
    <t>Fail — did not match Expected Result — describe what happened in Actual Result / Comments</t>
  </si>
  <si>
    <t>Blocked — could not be tested (e.g. a dependency isn't built yet)</t>
  </si>
  <si>
    <t>N/A — doesn't apply to your current setup</t>
  </si>
  <si>
    <t>Priority column legend</t>
  </si>
  <si>
    <t>High — core money, safety, or access-control behavior; test these first</t>
  </si>
  <si>
    <t>Medium — important day-to-day functionality</t>
  </si>
  <si>
    <t>Low — nice-to-have / cosmetic behavior</t>
  </si>
  <si>
    <t>Before you start</t>
  </si>
  <si>
    <t>Make sure the database has been freshly seeded (php artisan migrate:fresh --seed) so admin@daycare.com exists and role/permission data matches what these test cases assume.</t>
  </si>
  <si>
    <t>Have at least one seeded parent account with a child, and one seeded staff account, so role-based test cases (marked across every module) have something real to check against.</t>
  </si>
  <si>
    <t>UAT Progress Summary</t>
  </si>
  <si>
    <t>Updates automatically from the Status column on the UAT Checklist tab</t>
  </si>
  <si>
    <t>Module</t>
  </si>
  <si>
    <t>Total Cases</t>
  </si>
  <si>
    <t>Not Tested</t>
  </si>
  <si>
    <t>Pass</t>
  </si>
  <si>
    <t>Fail</t>
  </si>
  <si>
    <t>Blocked</t>
  </si>
  <si>
    <t>N/A</t>
  </si>
  <si>
    <t>Pass Rate</t>
  </si>
  <si>
    <t>Authentication</t>
  </si>
  <si>
    <t>User Management</t>
  </si>
  <si>
    <t>Roles &amp; Permissions</t>
  </si>
  <si>
    <t>Children Management</t>
  </si>
  <si>
    <t>Guardian-Child Access</t>
  </si>
  <si>
    <t>Programs</t>
  </si>
  <si>
    <t>Enrollments</t>
  </si>
  <si>
    <t>Waitlist</t>
  </si>
  <si>
    <t>Attendance</t>
  </si>
  <si>
    <t>Child Daily Logs</t>
  </si>
  <si>
    <t>Documents</t>
  </si>
  <si>
    <t>Activities</t>
  </si>
  <si>
    <t>Drop-in Bookings</t>
  </si>
  <si>
    <t>Billing - Daycare</t>
  </si>
  <si>
    <t>Therapy Wing Setup</t>
  </si>
  <si>
    <t>Therapy Sessions</t>
  </si>
  <si>
    <t>Therapy Billing</t>
  </si>
  <si>
    <t>Reports</t>
  </si>
  <si>
    <t>Announcements</t>
  </si>
  <si>
    <t>Child Safety QR</t>
  </si>
  <si>
    <t>Security &amp; Non-Functional</t>
  </si>
  <si>
    <t>TOTAL</t>
  </si>
  <si>
    <t>#</t>
  </si>
  <si>
    <t>Test ID</t>
  </si>
  <si>
    <t>Test Scenario</t>
  </si>
  <si>
    <t>Steps to Execute</t>
  </si>
  <si>
    <t>Expected Result</t>
  </si>
  <si>
    <t>Priority</t>
  </si>
  <si>
    <t>Status</t>
  </si>
  <si>
    <t>Actual Result / Comments</t>
  </si>
  <si>
    <t>Tested By</t>
  </si>
  <si>
    <t>Date Tested</t>
  </si>
  <si>
    <t>AUTH-01</t>
  </si>
  <si>
    <t>Parent self-registration</t>
  </si>
  <si>
    <t>1. Go to /register
2. Select role = Parent
3. Fill first/last name, email, phone, password
4. Submit</t>
  </si>
  <si>
    <t>New user created with role=parent; matching parents profile row created; user auto-logged in and redirected to dashboard</t>
  </si>
  <si>
    <t>High</t>
  </si>
  <si>
    <t>AUTH-02</t>
  </si>
  <si>
    <t>Staff self-registration</t>
  </si>
  <si>
    <t>1. Go to /register
2. Select role = Staff
3. Fill required fields
4. Submit</t>
  </si>
  <si>
    <t>staff profile row created with default role=teacher; redirected to dashboard</t>
  </si>
  <si>
    <t>AUTH-03</t>
  </si>
  <si>
    <t>Duplicate email registration</t>
  </si>
  <si>
    <t>1. Register using an email already in the users table</t>
  </si>
  <si>
    <t>Validation error shown: email already taken; no duplicate row created</t>
  </si>
  <si>
    <t>Medium</t>
  </si>
  <si>
    <t>AUTH-04</t>
  </si>
  <si>
    <t>Successful login</t>
  </si>
  <si>
    <t>1. Go to /login
2. Enter correct email/password
3. Submit</t>
  </si>
  <si>
    <t>Redirected to dashboard; last_login timestamp updated; session established</t>
  </si>
  <si>
    <t>AUTH-05</t>
  </si>
  <si>
    <t>Login with wrong password</t>
  </si>
  <si>
    <t>1. Enter correct email, incorrect password
2. Submit</t>
  </si>
  <si>
    <t>Error "credentials do not match" shown; rate limiter attempt count increases</t>
  </si>
  <si>
    <t>AUTH-06</t>
  </si>
  <si>
    <t>Login lockout after repeated failures</t>
  </si>
  <si>
    <t>1. Attempt login with wrong password 5 times within a minute
2. Try a 6th time</t>
  </si>
  <si>
    <t>Locked out with a "too many attempts, try again in X seconds" message</t>
  </si>
  <si>
    <t>AUTH-07</t>
  </si>
  <si>
    <t>Deactivated account login</t>
  </si>
  <si>
    <t>1. Admin sets a user's is_active = false
2. That user attempts to log in with correct credentials</t>
  </si>
  <si>
    <t>Login is immediately reversed; "account deactivated" message shown; user is logged out</t>
  </si>
  <si>
    <t>AUTH-08</t>
  </si>
  <si>
    <t>Logout</t>
  </si>
  <si>
    <t>1. While logged in, click Logout</t>
  </si>
  <si>
    <t>Session invalidated and token regenerated; redirected to /login</t>
  </si>
  <si>
    <t>AUTH-09</t>
  </si>
  <si>
    <t>Forgot password request</t>
  </si>
  <si>
    <t>1. Go to /forgot-password
2. Submit a registered email</t>
  </si>
  <si>
    <t>Reset link emailed; success status message shown</t>
  </si>
  <si>
    <t>AUTH-10</t>
  </si>
  <si>
    <t>Reset password via emailed link</t>
  </si>
  <si>
    <t>1. Open the emailed reset link
2. Enter and confirm a new password
3. Submit</t>
  </si>
  <si>
    <t>Password updated; can log in with new password; old password no longer works</t>
  </si>
  <si>
    <t>USER-01</t>
  </si>
  <si>
    <t>Admin creates a parent account</t>
  </si>
  <si>
    <t>1. Login as admin
2. Go to Create User
3. Select role=Parent, fill fields, submit</t>
  </si>
  <si>
    <t>User + parents profile row created together in one transaction; Spatie parent role assigned</t>
  </si>
  <si>
    <t>USER-02</t>
  </si>
  <si>
    <t>Admin creates a staff account</t>
  </si>
  <si>
    <t>1. Same as USER-01 with role=Staff</t>
  </si>
  <si>
    <t>User + staff profile row created; Spatie staff role assigned</t>
  </si>
  <si>
    <t>USER-03</t>
  </si>
  <si>
    <t>Admin creates another admin account</t>
  </si>
  <si>
    <t>1. Same as USER-01 with role=Admin</t>
  </si>
  <si>
    <t>User row created with admin role; no profile table row required</t>
  </si>
  <si>
    <t>USER-04</t>
  </si>
  <si>
    <t>Non-admin blocked from user creation</t>
  </si>
  <si>
    <t>1. Login as staff or parent
2. Attempt to visit /users/create directly</t>
  </si>
  <si>
    <t>Access denied (403) or redirected away</t>
  </si>
  <si>
    <t>PERM-01</t>
  </si>
  <si>
    <t>Admin sees full sidebar</t>
  </si>
  <si>
    <t>1. Login as admin</t>
  </si>
  <si>
    <t>Every module (Programs, Children, Billing, Staff, Reports, Settings, etc.) appears in the sidebar</t>
  </si>
  <si>
    <t>PERM-02</t>
  </si>
  <si>
    <t>Staff sees operational-only sidebar</t>
  </si>
  <si>
    <t>1. Login as staff</t>
  </si>
  <si>
    <t>Staff mgmt, Reports, Settings hidden; operational items (Attendance, Daily Logs, Activities) visible</t>
  </si>
  <si>
    <t>PERM-03</t>
  </si>
  <si>
    <t>Parent sees read-only sidebar</t>
  </si>
  <si>
    <t>1. Login as parent</t>
  </si>
  <si>
    <t>Only view-permitted items appear (own children, invoices, announcements); no create/manage items shown</t>
  </si>
  <si>
    <t>PERM-04</t>
  </si>
  <si>
    <t>Menu item on an unbuilt route doesn't crash</t>
  </si>
  <si>
    <t>1. As admin, click a sidebar item still using a raw url (not yet a named route)</t>
  </si>
  <si>
    <t>Page loads (404 if controller isn't built); shared layout never throws a RouteNotFoundException</t>
  </si>
  <si>
    <t>PERM-05</t>
  </si>
  <si>
    <t>Revoking a permission updates the menu</t>
  </si>
  <si>
    <t>1. Remove a permission from the staff role
2. Log out and back in as a staff user</t>
  </si>
  <si>
    <t>The corresponding sidebar item is no longer visible</t>
  </si>
  <si>
    <t>Low</t>
  </si>
  <si>
    <t>CHILD-01</t>
  </si>
  <si>
    <t>Create a child links a guardian automatically</t>
  </si>
  <si>
    <t>1. Admin/staff creates a new child under a parent</t>
  </si>
  <si>
    <t>A guardian_child row is auto-created linking the billing parent, accepted_at set, access_level=full</t>
  </si>
  <si>
    <t>CHILD-02</t>
  </si>
  <si>
    <t>Parent sees only their own children</t>
  </si>
  <si>
    <t>1. Login as a parent with 1+ children
2. Go to Children index</t>
  </si>
  <si>
    <t>Only that parent's linked children appear; no other family's children</t>
  </si>
  <si>
    <t>CHILD-03</t>
  </si>
  <si>
    <t>Parent blocked from another family's child</t>
  </si>
  <si>
    <t>1. As a parent, note another family's child ID
2. Visit /children/{id} directly</t>
  </si>
  <si>
    <t>403 Forbidden — ChildPolicy blocks it</t>
  </si>
  <si>
    <t>CHILD-04</t>
  </si>
  <si>
    <t>Staff sees all active children</t>
  </si>
  <si>
    <t>1. Login as staff
2. Go to Children index</t>
  </si>
  <si>
    <t>All is_active=true children appear regardless of family</t>
  </si>
  <si>
    <t>CHILD-05</t>
  </si>
  <si>
    <t>Edit a child record</t>
  </si>
  <si>
    <t>1. Admin/staff opens a child
2. Updates a field (e.g. allergies)
3. Saves</t>
  </si>
  <si>
    <t>Update persists and displays correctly on reload</t>
  </si>
  <si>
    <t>CHILD-06</t>
  </si>
  <si>
    <t>View-only guardian blocked from editing</t>
  </si>
  <si>
    <t>1. A guardian with access_level=view_only attempts to edit the child</t>
  </si>
  <si>
    <t>Edit action is blocked by policy</t>
  </si>
  <si>
    <t>CHILD-07</t>
  </si>
  <si>
    <t>Deactivate a child (soft delete)</t>
  </si>
  <si>
    <t>1. Admin deactivates a child</t>
  </si>
  <si>
    <t>is_active becomes false; attendance/billing history remains intact, not deleted</t>
  </si>
  <si>
    <t>CHILD-08</t>
  </si>
  <si>
    <t>Emergency contact fields save correctly</t>
  </si>
  <si>
    <t>1. Fill ec_name, ec_relationship, ec_phone, ec_authorized_pickup
2. Save and reopen</t>
  </si>
  <si>
    <t>All four fields display exactly as entered</t>
  </si>
  <si>
    <t>GUARD-01</t>
  </si>
  <si>
    <t>Pending guardian invite has no access yet</t>
  </si>
  <si>
    <t>1. Add a second guardian to a child with accepted_at left null</t>
  </si>
  <si>
    <t>That guardian cannot see the child in their account yet</t>
  </si>
  <si>
    <t>GUARD-02</t>
  </si>
  <si>
    <t>Accepted guardian gains access</t>
  </si>
  <si>
    <t>1. Set accepted_at on that guardian_child row (simulating acceptance)</t>
  </si>
  <si>
    <t>The guardian can now view the child</t>
  </si>
  <si>
    <t>GUARD-03</t>
  </si>
  <si>
    <t>can_pickup flag reflected correctly</t>
  </si>
  <si>
    <t>1. Set can_pickup=false for a guardian
2. Check wherever pickup authorization is displayed</t>
  </si>
  <si>
    <t>Correctly shown as not authorized for pickup</t>
  </si>
  <si>
    <t>GUARD-04</t>
  </si>
  <si>
    <t>Primary guardian flag is accurate</t>
  </si>
  <si>
    <t>1. Check is_primary on the auto-created guardian_child row from CHILD-01</t>
  </si>
  <si>
    <t>The billing parent is marked is_primary=true</t>
  </si>
  <si>
    <t>PROG-01</t>
  </si>
  <si>
    <t>Create a new program</t>
  </si>
  <si>
    <t>1. Admin creates a program with name, age range, capacity, billing model</t>
  </si>
  <si>
    <t>Program saved and appears in the catalog</t>
  </si>
  <si>
    <t>PROG-02</t>
  </si>
  <si>
    <t>State-funded program shows $0 fee</t>
  </si>
  <si>
    <t>1. Create/view a program with billing_model=state_funded</t>
  </si>
  <si>
    <t>monthly_fee displays as $0 / not applicable</t>
  </si>
  <si>
    <t>PROG-03</t>
  </si>
  <si>
    <t>Deactivated program hidden from enrollment</t>
  </si>
  <si>
    <t>1. Set a program's is_active=false
2. Start a new enrollment</t>
  </si>
  <si>
    <t>That program no longer appears as a selectable option</t>
  </si>
  <si>
    <t>PROG-04</t>
  </si>
  <si>
    <t>Drop-in program uses daily_rate</t>
  </si>
  <si>
    <t>1. Create a program with service_type=drop_in</t>
  </si>
  <si>
    <t>daily_rate field is used/required; monthly_fee stays empty</t>
  </si>
  <si>
    <t>PROG-05</t>
  </si>
  <si>
    <t>Non-admin blocked from managing programs</t>
  </si>
  <si>
    <t>1. Login as staff or parent
2. Attempt to create/edit a program</t>
  </si>
  <si>
    <t>Access denied</t>
  </si>
  <si>
    <t>ENR-01</t>
  </si>
  <si>
    <t>Enroll within age range succeeds</t>
  </si>
  <si>
    <t>1. Enroll a child whose age fits the program's min/max_age_months</t>
  </si>
  <si>
    <t>Enrollment created with status=pending or active</t>
  </si>
  <si>
    <t>ENR-02</t>
  </si>
  <si>
    <t>Enroll outside age range blocked</t>
  </si>
  <si>
    <t>1. Attempt to enroll a child outside the program's age range</t>
  </si>
  <si>
    <t>Validation/business rule blocks it with a clear message</t>
  </si>
  <si>
    <t>ENR-03</t>
  </si>
  <si>
    <t>Enrollment at full capacity goes to waitlist</t>
  </si>
  <si>
    <t>1. Enroll into a program already at its capacity limit</t>
  </si>
  <si>
    <t>Child is routed to the waitlist instead of being enrolled</t>
  </si>
  <si>
    <t>ENR-04</t>
  </si>
  <si>
    <t>Status progression</t>
  </si>
  <si>
    <t>1. Move an enrollment from pending → approved → active</t>
  </si>
  <si>
    <t>Each transition saves correctly; approved_at/approved_by populate on approval</t>
  </si>
  <si>
    <t>ENR-05</t>
  </si>
  <si>
    <t>Withdraw an active enrollment</t>
  </si>
  <si>
    <t>1. Withdraw a currently active enrollment</t>
  </si>
  <si>
    <t>status becomes withdrawn; end_date is recorded</t>
  </si>
  <si>
    <t>ENR-06</t>
  </si>
  <si>
    <t>enrolled_by is recorded</t>
  </si>
  <si>
    <t>1. Submit a new enrollment as a specific admin/staff user</t>
  </si>
  <si>
    <t>enrolled_by correctly stores that user's ID</t>
  </si>
  <si>
    <t>WAIT-01</t>
  </si>
  <si>
    <t>Waitlist position assigned</t>
  </si>
  <si>
    <t>1. Add a child to a full program's waitlist</t>
  </si>
  <si>
    <t>A position number is assigned (e.g. next available)</t>
  </si>
  <si>
    <t>WAIT-02</t>
  </si>
  <si>
    <t>Offer a waitlist slot</t>
  </si>
  <si>
    <t>1. A spot opens; change status from waiting to offered</t>
  </si>
  <si>
    <t>Status updates correctly; child is notified per your process</t>
  </si>
  <si>
    <t>WAIT-03</t>
  </si>
  <si>
    <t>Expired offer</t>
  </si>
  <si>
    <t>1. Let an offered waitlist entry pass its response window</t>
  </si>
  <si>
    <t>Status updates to expired</t>
  </si>
  <si>
    <t>ATT-01</t>
  </si>
  <si>
    <t>Check in a child</t>
  </si>
  <si>
    <t>1. Staff checks in a child for today</t>
  </si>
  <si>
    <t>check_in_time recorded; status=present</t>
  </si>
  <si>
    <t>ATT-02</t>
  </si>
  <si>
    <t>Check out a child</t>
  </si>
  <si>
    <t>1. Staff checks out the same child later</t>
  </si>
  <si>
    <t>check_out_time recorded</t>
  </si>
  <si>
    <t>ATT-03</t>
  </si>
  <si>
    <t>Mark absent</t>
  </si>
  <si>
    <t>1. Mark a child absent for a day they didn't attend</t>
  </si>
  <si>
    <t>status=absent saved for that date</t>
  </si>
  <si>
    <t>ATT-04</t>
  </si>
  <si>
    <t>Daily attendance counts are accurate</t>
  </si>
  <si>
    <t>1. Compare the attendance report for a given day against manual check-ins</t>
  </si>
  <si>
    <t>Present/absent/late counts match reality</t>
  </si>
  <si>
    <t>LOG-01</t>
  </si>
  <si>
    <t>Log a nap</t>
  </si>
  <si>
    <t>1. Add a daily log with log_type=nap, start/end time, quality</t>
  </si>
  <si>
    <t>Entry saves and displays correctly on the child's timeline</t>
  </si>
  <si>
    <t>LOG-02</t>
  </si>
  <si>
    <t>Log a meal</t>
  </si>
  <si>
    <t>1. Add a daily log with log_type=meal, meal_type, items_served, amount_eaten</t>
  </si>
  <si>
    <t>Meal-specific fields save; unrelated fields (quality) stay blank</t>
  </si>
  <si>
    <t>LOG-03</t>
  </si>
  <si>
    <t>Log activity participation</t>
  </si>
  <si>
    <t>1. Log an entry with log_type=activity linked to an activity_occurrence_id</t>
  </si>
  <si>
    <t>Entry correctly references the occurrence; shows in that occurrence's participant list</t>
  </si>
  <si>
    <t>LOG-04</t>
  </si>
  <si>
    <t>Log an incident</t>
  </si>
  <si>
    <t>1. Add a daily log with log_type=incident and detailed notes</t>
  </si>
  <si>
    <t>Notes saved in full; visible to authorized staff/admin</t>
  </si>
  <si>
    <t>LOG-05</t>
  </si>
  <si>
    <t>Daily timeline sorts correctly</t>
  </si>
  <si>
    <t>1. View a child's full day of logs</t>
  </si>
  <si>
    <t>Entries display in chronological order by start_time</t>
  </si>
  <si>
    <t>LOG-06</t>
  </si>
  <si>
    <t>Parent has read-only access to logs</t>
  </si>
  <si>
    <t>1. Login as parent
2. View own child's daily logs</t>
  </si>
  <si>
    <t>Logs are visible but no edit controls are shown</t>
  </si>
  <si>
    <t>DOC-01</t>
  </si>
  <si>
    <t>Upload a document</t>
  </si>
  <si>
    <t>1. Admin/staff uploads an immunization record for a child</t>
  </si>
  <si>
    <t>File stored; document row created with correct doc_type</t>
  </si>
  <si>
    <t>DOC-02</t>
  </si>
  <si>
    <t>Expiry date displays</t>
  </si>
  <si>
    <t>1. Upload a document with an expiry_date</t>
  </si>
  <si>
    <t>Expiry date shows correctly on the child's document list</t>
  </si>
  <si>
    <t>DOC-03</t>
  </si>
  <si>
    <t>Parent cannot upload documents</t>
  </si>
  <si>
    <t>1. Login as parent
2. Attempt to upload a document</t>
  </si>
  <si>
    <t>Action blocked/hidden</t>
  </si>
  <si>
    <t>ACT-01</t>
  </si>
  <si>
    <t>Create an activity</t>
  </si>
  <si>
    <t>1. Admin adds a new activity to the catalog (name, category, age range)</t>
  </si>
  <si>
    <t>Activity saved and available for scheduling</t>
  </si>
  <si>
    <t>ACT-02</t>
  </si>
  <si>
    <t>Log an activity occurrence</t>
  </si>
  <si>
    <t>1. Schedule/log an occurrence for a program on a specific date</t>
  </si>
  <si>
    <t>Occurrence saved with correct activity, program, date</t>
  </si>
  <si>
    <t>ACT-03</t>
  </si>
  <si>
    <t>Occurrence status update</t>
  </si>
  <si>
    <t>1. Mark an occurrence as completed / partial / cancelled</t>
  </si>
  <si>
    <t>Status saves correctly</t>
  </si>
  <si>
    <t>ACT-04</t>
  </si>
  <si>
    <t>Monthly calendar view</t>
  </si>
  <si>
    <t>1. Open the admin's monthly activity view for a given month</t>
  </si>
  <si>
    <t>All occurrences for that month display grouped by day, matching actual records</t>
  </si>
  <si>
    <t>ACT-05</t>
  </si>
  <si>
    <t>Attach media to an occurrence</t>
  </si>
  <si>
    <t>1. Upload a photo/video to an activity occurrence</t>
  </si>
  <si>
    <t>Media saves and displays linked to that occurrence</t>
  </si>
  <si>
    <t>ACT-06</t>
  </si>
  <si>
    <t>Child engagement reflected</t>
  </si>
  <si>
    <t>1. Log a child's engagement quality for an activity via the daily log</t>
  </si>
  <si>
    <t>Correct engagement level shows against that child + occurrence</t>
  </si>
  <si>
    <t>DROP-01</t>
  </si>
  <si>
    <t>Book drop-in for enrolled child</t>
  </si>
  <si>
    <t>1. Book a drop-in day for a child who already has an active enrollment</t>
  </si>
  <si>
    <t>Booking created and linked to that child/parent</t>
  </si>
  <si>
    <t>DROP-02</t>
  </si>
  <si>
    <t>Book drop-in for a walk-in (no account)</t>
  </si>
  <si>
    <t>1. Create a drop-in booking with child_id and parent_id left blank, just contact notes</t>
  </si>
  <si>
    <t>Booking saves successfully with both FKs null</t>
  </si>
  <si>
    <t>DROP-03</t>
  </si>
  <si>
    <t>1. Move a booking from booked → checked_in → completed</t>
  </si>
  <si>
    <t>Each status transition saves correctly</t>
  </si>
  <si>
    <t>DROP-04</t>
  </si>
  <si>
    <t>Drop-in appears in manual invoice</t>
  </si>
  <si>
    <t>1. Create a manual invoice and select a completed drop-in booking</t>
  </si>
  <si>
    <t>Line item is added with the correct daily_rate</t>
  </si>
  <si>
    <t>BILL-01</t>
  </si>
  <si>
    <t>Create a daycare-only invoice</t>
  </si>
  <si>
    <t>1. Admin selects only active enrollment items for a child
2. Creates the invoice</t>
  </si>
  <si>
    <t>Invoice type saves as "daycare"; total matches sum of selected items</t>
  </si>
  <si>
    <t>BILL-02</t>
  </si>
  <si>
    <t>Invoice type auto-classification</t>
  </si>
  <si>
    <t>1. Repeat BILL-01 exactly</t>
  </si>
  <si>
    <t>type field correctly equals "daycare" (not therapy or mixed)</t>
  </si>
  <si>
    <t>BILL-03</t>
  </si>
  <si>
    <t>Record a full payment</t>
  </si>
  <si>
    <t>1. Record a payment equal to the invoice total</t>
  </si>
  <si>
    <t>Invoice status updates to paid</t>
  </si>
  <si>
    <t>BILL-04</t>
  </si>
  <si>
    <t>Record a partial payment</t>
  </si>
  <si>
    <t>1. Record a payment less than the invoice total</t>
  </si>
  <si>
    <t>Invoice remains outstanding for the correct remaining balance</t>
  </si>
  <si>
    <t>BILL-05</t>
  </si>
  <si>
    <t>State-funded line item is $0</t>
  </si>
  <si>
    <t>1. Include a state-funded enrollment on an invoice</t>
  </si>
  <si>
    <t>Line item shows unit_price/subtotal = 0.00 correctly</t>
  </si>
  <si>
    <t>BILL-06</t>
  </si>
  <si>
    <t>Invoice item math is correct</t>
  </si>
  <si>
    <t>1. Add multiple items with different quantities/prices to one invoice</t>
  </si>
  <si>
    <t>subtotal and invoice total_amount both calculate correctly</t>
  </si>
  <si>
    <t>THER-01</t>
  </si>
  <si>
    <t>Create a therapist staff record</t>
  </si>
  <si>
    <t>1. Admin creates a staff user with role=therapist and a specialization (SLT/ABA/OT)</t>
  </si>
  <si>
    <t>Staff row saves with correct role, department=therapy, specialization</t>
  </si>
  <si>
    <t>THER-02</t>
  </si>
  <si>
    <t>Therapy service catalog entry</t>
  </si>
  <si>
    <t>1. Admin adds a therapy service (e.g. "ABA Session") with duration and session_rate</t>
  </si>
  <si>
    <t>Service saves and is selectable for booking</t>
  </si>
  <si>
    <t>THER-03</t>
  </si>
  <si>
    <t>Existing staff unaffected by new columns</t>
  </si>
  <si>
    <t>1. Open a staff record created before this module existed</t>
  </si>
  <si>
    <t>department defaults to "daycare"; specialization is null; nothing else changed</t>
  </si>
  <si>
    <t>THER-04</t>
  </si>
  <si>
    <t>Non-admin blocked from managing services</t>
  </si>
  <si>
    <t>1. Login as staff/parent
2. Attempt to edit the therapy services catalog</t>
  </si>
  <si>
    <t>TSES-01</t>
  </si>
  <si>
    <t>Book a therapy session</t>
  </si>
  <si>
    <t>1. Book a session for a child with a specific therapist and service, date/time</t>
  </si>
  <si>
    <t>Session saves with status=scheduled</t>
  </si>
  <si>
    <t>TSES-02</t>
  </si>
  <si>
    <t>Mark session completed</t>
  </si>
  <si>
    <t>1. Update a scheduled session's status to completed, add notes</t>
  </si>
  <si>
    <t>Status and notes save correctly</t>
  </si>
  <si>
    <t>TSES-03</t>
  </si>
  <si>
    <t>Mark session cancelled/no-show</t>
  </si>
  <si>
    <t>1. Update a session's status to cancelled or no_show</t>
  </si>
  <si>
    <t>Status saves correctly; session excluded from billing eligibility</t>
  </si>
  <si>
    <t>TSES-04</t>
  </si>
  <si>
    <t>Multiple same-day sessions allowed (by design)</t>
  </si>
  <si>
    <t>1. Book more than 8 sessions for one therapist on the same day</t>
  </si>
  <si>
    <t>System allows it without blocking — confirms the deliberate "flexible, no hard cap" decision</t>
  </si>
  <si>
    <t>TSES-05</t>
  </si>
  <si>
    <t>booked_by is recorded</t>
  </si>
  <si>
    <t>1. Create a session as a specific logged-in user</t>
  </si>
  <si>
    <t>booked_by correctly stores that user</t>
  </si>
  <si>
    <t>TBILL-01</t>
  </si>
  <si>
    <t>Unbilled sessions appear for selection</t>
  </si>
  <si>
    <t>1. Complete a therapy session
2. Open the manual invoice creation screen for that child</t>
  </si>
  <si>
    <t>The completed session appears in the "unbilled" checklist</t>
  </si>
  <si>
    <t>TBILL-02</t>
  </si>
  <si>
    <t>Billed session disappears from the unbilled list</t>
  </si>
  <si>
    <t>1. Invoice the session from TBILL-01
2. Reopen the invoice creation screen for the same child</t>
  </si>
  <si>
    <t>That session no longer appears (whereDoesntHave invoiceItem check works)</t>
  </si>
  <si>
    <t>TBILL-03</t>
  </si>
  <si>
    <t>Therapy-only invoice</t>
  </si>
  <si>
    <t>1. Create an invoice selecting only therapy session items</t>
  </si>
  <si>
    <t>Invoice type saves as "therapy"</t>
  </si>
  <si>
    <t>TBILL-04</t>
  </si>
  <si>
    <t>Mixed invoice</t>
  </si>
  <si>
    <t>1. Create an invoice selecting both enrollment and therapy session items together</t>
  </si>
  <si>
    <t>Invoice type saves as "mixed"; both line item types appear on one invoice</t>
  </si>
  <si>
    <t>REP-01</t>
  </si>
  <si>
    <t>Revenue report totals are accurate</t>
  </si>
  <si>
    <t>1. Run the Billing/Revenue report for a known date range</t>
  </si>
  <si>
    <t>Total invoiced/collected/outstanding match a manual sum of those invoices</t>
  </si>
  <si>
    <t>REP-02</t>
  </si>
  <si>
    <t>Revenue report type filter</t>
  </si>
  <si>
    <t>1. Filter the revenue report by type=therapy</t>
  </si>
  <si>
    <t>Only therapy-relevant figures reflect per the intended filter logic</t>
  </si>
  <si>
    <t>REP-03</t>
  </si>
  <si>
    <t>Outstanding invoices list is correct</t>
  </si>
  <si>
    <t>1. Run the Outstanding Invoices report</t>
  </si>
  <si>
    <t>Only invoices with status sent/overdue appear, sorted most-overdue first</t>
  </si>
  <si>
    <t>REP-04</t>
  </si>
  <si>
    <t>Days overdue calculation</t>
  </si>
  <si>
    <t>1. Check a specific overdue invoice's days_overdue value against today's date</t>
  </si>
  <si>
    <t>Value matches an actual day-count calculation</t>
  </si>
  <si>
    <t>REP-05</t>
  </si>
  <si>
    <t>Invoice auto-flip to overdue</t>
  </si>
  <si>
    <t>1. Let a sent invoice's due_date pass
2. Run the scheduled overdue-check job</t>
  </si>
  <si>
    <t>Status updates from sent to overdue automatically</t>
  </si>
  <si>
    <t>REP-06</t>
  </si>
  <si>
    <t>Report totals row</t>
  </si>
  <si>
    <t>1. Check the summary/total row on each report</t>
  </si>
  <si>
    <t>Totals correctly sum the visible rows</t>
  </si>
  <si>
    <t>ANN-01</t>
  </si>
  <si>
    <t>Audience targeting</t>
  </si>
  <si>
    <t>1. Staff posts an announcement with audience=parents</t>
  </si>
  <si>
    <t>Only parent accounts see it; staff/admin-only announcements stay hidden from parents</t>
  </si>
  <si>
    <t>ANN-02</t>
  </si>
  <si>
    <t>Expired announcement hides</t>
  </si>
  <si>
    <t>1. Set expires_at to a past date on an announcement</t>
  </si>
  <si>
    <t>It no longer displays to any audience</t>
  </si>
  <si>
    <t>ANN-03</t>
  </si>
  <si>
    <t>Permission-gated visibility</t>
  </si>
  <si>
    <t>1. Login as a role without announcements.view-any</t>
  </si>
  <si>
    <t>Announcements page/menu item is inaccessible</t>
  </si>
  <si>
    <t>SAFE-01</t>
  </si>
  <si>
    <t>Generate a safety tag</t>
  </si>
  <si>
    <t>1. From a child's profile, generate a new safety tag</t>
  </si>
  <si>
    <t>A unique token and QR image are created and saved</t>
  </si>
  <si>
    <t>SAFE-02</t>
  </si>
  <si>
    <t>Scan loads the public card</t>
  </si>
  <si>
    <t>1. Open the QR's URL in a browser with no login</t>
  </si>
  <si>
    <t>The safety card page loads successfully, no auth required</t>
  </si>
  <si>
    <t>SAFE-03</t>
  </si>
  <si>
    <t>Card shows minimal info only</t>
  </si>
  <si>
    <t>1. Inspect the rendered public card</t>
  </si>
  <si>
    <t>Only first name + phone numbers shown — no last name, no address, no medical notes</t>
  </si>
  <si>
    <t>SAFE-04</t>
  </si>
  <si>
    <t>Call Guardian button works</t>
  </si>
  <si>
    <t>1. Tap/click the Call Guardian button on a mobile device</t>
  </si>
  <si>
    <t>Correct parent phone number is dialed via tel: link</t>
  </si>
  <si>
    <t>SAFE-05</t>
  </si>
  <si>
    <t>Found report with location</t>
  </si>
  <si>
    <t>1. Submit "I found this child" and allow location access</t>
  </si>
  <si>
    <t>Report saves with latitude/longitude populated</t>
  </si>
  <si>
    <t>SAFE-06</t>
  </si>
  <si>
    <t>Found report without location</t>
  </si>
  <si>
    <t>1. Submit the same form but deny location permission</t>
  </si>
  <si>
    <t>Report still saves successfully with lat/lng left null</t>
  </si>
  <si>
    <t>SAFE-07</t>
  </si>
  <si>
    <t>Guardian receives the alert</t>
  </si>
  <si>
    <t>1. Submit a found report
2. Check the guardian's phone</t>
  </si>
  <si>
    <t>SMS/WhatsApp alert arrives with a map link and finder's contact info</t>
  </si>
  <si>
    <t>SAFE-08</t>
  </si>
  <si>
    <t>Deactivated tag returns 404</t>
  </si>
  <si>
    <t>1. Deactivate a safety tag
2. Revisit its QR URL</t>
  </si>
  <si>
    <t>Page returns 404, does not show stale child data</t>
  </si>
  <si>
    <t>SEC-01</t>
  </si>
  <si>
    <t>Session regenerates on login</t>
  </si>
  <si>
    <t>1. Inspect the session ID before and after a successful login</t>
  </si>
  <si>
    <t>Session ID changes after login (fixation protection)</t>
  </si>
  <si>
    <t>SEC-02</t>
  </si>
  <si>
    <t>CSRF protection</t>
  </si>
  <si>
    <t>1. Attempt to submit a POST form without a valid CSRF token</t>
  </si>
  <si>
    <t>Request is rejected (419 error)</t>
  </si>
  <si>
    <t>SEC-03</t>
  </si>
  <si>
    <t>Public routes are rate-limited</t>
  </si>
  <si>
    <t>1. Rapidly hit a public /s/{token} URL more than 30 times in a minute</t>
  </si>
  <si>
    <t>Requests beyond the limit are throttled/rejected</t>
  </si>
  <si>
    <t>SEC-04</t>
  </si>
  <si>
    <t>Public page is not indexable</t>
  </si>
  <si>
    <t>1. View the safety card page's HTML source</t>
  </si>
  <si>
    <t>A &lt;meta name="robots" content="noindex, nofollow"&gt; tag is present</t>
  </si>
  <si>
    <t>SEC-05</t>
  </si>
  <si>
    <t>ID-guessing is blocked</t>
  </si>
  <si>
    <t>1. As a parent, try sequential child IDs in the URL that aren't theirs</t>
  </si>
  <si>
    <t>Every unauthorized ID returns 403, not the child's data</t>
  </si>
  <si>
    <t>SEC-06</t>
  </si>
  <si>
    <t>Demo routes removed before production</t>
  </si>
  <si>
    <t>1. Check the production route list for any /demo/* AdminLTE routes</t>
  </si>
  <si>
    <t>None are present</t>
  </si>
  <si>
    <t>Phone/mobile no placeholder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</si>
</sst>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</font>
    <font>
      <b/>
      <sz val="16"/>
      <name val="Arial"/>
      <charset val="1"/>
    </font>
    <font>
      <i/>
      <sz val="10"/>
      <color rgb="FF5B5A55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33322E"/>
        <bgColor rgb="FF333300"/>
      </patternFill>
    </fill>
  </fills>
  <borders count="3">
    <border>
      <left/>
      <right/>
      <top/>
      <bottom/>
      <diagonal/>
    </border>
    <border>
      <left style="thin">
        <color rgb="FFD9D7CE"/>
      </left>
      <right style="thin">
        <color rgb="FFD9D7CE"/>
      </right>
      <top style="thin">
        <color rgb="FFD9D7CE"/>
      </top>
      <bottom style="thin">
        <color rgb="FFD9D7CE"/>
      </bottom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top" wrapText="1"/>
    </xf>
    <xf numFmtId="0" fontId="4" fillId="0" borderId="1" xfId="0" applyFont="1" applyBorder="1"/>
    <xf numFmtId="9" fontId="4" fillId="0" borderId="1" xfId="0" applyNumberFormat="1" applyFont="1" applyBorder="1"/>
    <xf numFmtId="0" fontId="3" fillId="0" borderId="2" xfId="0" applyFont="1" applyBorder="1"/>
    <xf numFmtId="9" fontId="3" fillId="0" borderId="2" xfId="0" applyNumberFormat="1" applyFont="1" applyBorder="1"/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5">
    <dxf>
      <font>
        <b/>
        <color rgb="FFA32D2D"/>
        <name val="Arial"/>
      </font>
    </dxf>
    <dxf>
      <font>
        <color rgb="FF5F5E5A"/>
        <name val="Arial"/>
      </font>
      <fill>
        <patternFill>
          <bgColor rgb="FFF1EFE8"/>
        </patternFill>
      </fill>
    </dxf>
    <dxf>
      <font>
        <b/>
        <color rgb="FF854F0B"/>
        <name val="Arial"/>
      </font>
      <fill>
        <patternFill>
          <bgColor rgb="FFFDEBCF"/>
        </patternFill>
      </fill>
    </dxf>
    <dxf>
      <font>
        <b/>
        <color rgb="FFA32D2D"/>
        <name val="Arial"/>
      </font>
      <fill>
        <patternFill>
          <bgColor rgb="FFFBDADA"/>
        </patternFill>
      </fill>
    </dxf>
    <dxf>
      <font>
        <b/>
        <color rgb="FF0F6E56"/>
        <name val="Arial"/>
      </font>
      <fill>
        <patternFill>
          <bgColor rgb="FFD9F2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4F0B"/>
      <rgbColor rgb="FF800080"/>
      <rgbColor rgb="FF0F6E56"/>
      <rgbColor rgb="FFC0C0C0"/>
      <rgbColor rgb="FF5B5A55"/>
      <rgbColor rgb="FF9999FF"/>
      <rgbColor rgb="FF993366"/>
      <rgbColor rgb="FFFDEBCF"/>
      <rgbColor rgb="FFD9F2E6"/>
      <rgbColor rgb="FF660066"/>
      <rgbColor rgb="FFFF8080"/>
      <rgbColor rgb="FF0066CC"/>
      <rgbColor rgb="FFD9D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FE8"/>
      <rgbColor rgb="FFCCFFCC"/>
      <rgbColor rgb="FFFFFF99"/>
      <rgbColor rgb="FF99CCFF"/>
      <rgbColor rgb="FFFF99CC"/>
      <rgbColor rgb="FFCC99FF"/>
      <rgbColor rgb="FFFBDADA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A32D2D"/>
      <rgbColor rgb="FF993366"/>
      <rgbColor rgb="FF333399"/>
      <rgbColor rgb="FF3332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26"/>
  <sheetViews>
    <sheetView showGridLines="0" zoomScaleNormal="100" workbookViewId="0">
      <selection activeCell="B14" sqref="B14"/>
    </sheetView>
  </sheetViews>
  <sheetFormatPr defaultColWidth="8.6640625" defaultRowHeight="14.4" x14ac:dyDescent="0.3"/>
  <cols>
    <col min="1" max="1" width="3" customWidth="1"/>
    <col min="2" max="2" width="110" customWidth="1"/>
  </cols>
  <sheetData>
    <row r="2" spans="2:2" ht="21" x14ac:dyDescent="0.4">
      <c r="B2" s="1" t="s">
        <v>0</v>
      </c>
    </row>
    <row r="3" spans="2:2" x14ac:dyDescent="0.3">
      <c r="B3" s="2" t="s">
        <v>1</v>
      </c>
    </row>
    <row r="5" spans="2:2" x14ac:dyDescent="0.3">
      <c r="B5" s="3" t="s">
        <v>2</v>
      </c>
    </row>
    <row r="6" spans="2:2" x14ac:dyDescent="0.3">
      <c r="B6" s="4" t="s">
        <v>3</v>
      </c>
    </row>
    <row r="7" spans="2:2" x14ac:dyDescent="0.3">
      <c r="B7" s="4" t="s">
        <v>4</v>
      </c>
    </row>
    <row r="8" spans="2:2" x14ac:dyDescent="0.3">
      <c r="B8" s="4" t="s">
        <v>5</v>
      </c>
    </row>
    <row r="9" spans="2:2" x14ac:dyDescent="0.3">
      <c r="B9" s="4" t="s">
        <v>6</v>
      </c>
    </row>
    <row r="10" spans="2:2" x14ac:dyDescent="0.3">
      <c r="B10" s="4" t="s">
        <v>7</v>
      </c>
    </row>
    <row r="11" spans="2:2" x14ac:dyDescent="0.3">
      <c r="B11" s="4"/>
    </row>
    <row r="12" spans="2:2" x14ac:dyDescent="0.3">
      <c r="B12" s="3" t="s">
        <v>8</v>
      </c>
    </row>
    <row r="13" spans="2:2" x14ac:dyDescent="0.3">
      <c r="B13" s="4" t="s">
        <v>9</v>
      </c>
    </row>
    <row r="14" spans="2:2" x14ac:dyDescent="0.3">
      <c r="B14" s="4" t="s">
        <v>10</v>
      </c>
    </row>
    <row r="15" spans="2:2" x14ac:dyDescent="0.3">
      <c r="B15" s="4" t="s">
        <v>11</v>
      </c>
    </row>
    <row r="16" spans="2:2" x14ac:dyDescent="0.3">
      <c r="B16" s="4" t="s">
        <v>12</v>
      </c>
    </row>
    <row r="17" spans="2:2" x14ac:dyDescent="0.3">
      <c r="B17" s="4" t="s">
        <v>13</v>
      </c>
    </row>
    <row r="18" spans="2:2" x14ac:dyDescent="0.3">
      <c r="B18" s="4"/>
    </row>
    <row r="19" spans="2:2" x14ac:dyDescent="0.3">
      <c r="B19" s="3" t="s">
        <v>14</v>
      </c>
    </row>
    <row r="20" spans="2:2" x14ac:dyDescent="0.3">
      <c r="B20" s="4" t="s">
        <v>15</v>
      </c>
    </row>
    <row r="21" spans="2:2" x14ac:dyDescent="0.3">
      <c r="B21" s="4" t="s">
        <v>16</v>
      </c>
    </row>
    <row r="22" spans="2:2" x14ac:dyDescent="0.3">
      <c r="B22" s="4" t="s">
        <v>17</v>
      </c>
    </row>
    <row r="23" spans="2:2" x14ac:dyDescent="0.3">
      <c r="B23" s="4"/>
    </row>
    <row r="24" spans="2:2" x14ac:dyDescent="0.3">
      <c r="B24" s="3" t="s">
        <v>18</v>
      </c>
    </row>
    <row r="25" spans="2:2" x14ac:dyDescent="0.3">
      <c r="B25" s="4" t="s">
        <v>19</v>
      </c>
    </row>
    <row r="26" spans="2:2" x14ac:dyDescent="0.3">
      <c r="B26" s="4" t="s">
        <v>20</v>
      </c>
    </row>
  </sheetData>
  <pageMargins left="0.75" right="0.75" top="1" bottom="1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I27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26" customWidth="1"/>
    <col min="3" max="8" width="12" customWidth="1"/>
    <col min="9" max="9" width="11" customWidth="1"/>
  </cols>
  <sheetData>
    <row r="2" spans="2:9" ht="21" x14ac:dyDescent="0.4">
      <c r="B2" s="1" t="s">
        <v>21</v>
      </c>
    </row>
    <row r="3" spans="2:9" x14ac:dyDescent="0.3">
      <c r="B3" s="2" t="s">
        <v>22</v>
      </c>
    </row>
    <row r="5" spans="2:9" x14ac:dyDescent="0.3"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</row>
    <row r="6" spans="2:9" x14ac:dyDescent="0.3">
      <c r="B6" s="6" t="s">
        <v>31</v>
      </c>
      <c r="C6" s="6">
        <f>COUNTIF('UAT Checklist'!$B$2:$B$111,$B6)</f>
        <v>10</v>
      </c>
      <c r="D6" s="6">
        <f>COUNTIFS('UAT Checklist'!$B$2:$B$111,$B6,'UAT Checklist'!$H$2:$H$111,"Not Tested")</f>
        <v>2</v>
      </c>
      <c r="E6" s="6">
        <f>COUNTIFS('UAT Checklist'!$B$2:$B$111,$B6,'UAT Checklist'!$H$2:$H$111,"Pass")</f>
        <v>8</v>
      </c>
      <c r="F6" s="6">
        <f>COUNTIFS('UAT Checklist'!$B$2:$B$111,$B6,'UAT Checklist'!$H$2:$H$111,"Fail")</f>
        <v>0</v>
      </c>
      <c r="G6" s="6">
        <f>COUNTIFS('UAT Checklist'!$B$2:$B$111,$B6,'UAT Checklist'!$H$2:$H$111,"Blocked")</f>
        <v>0</v>
      </c>
      <c r="H6" s="6">
        <f>COUNTIFS('UAT Checklist'!$B$2:$B$111,$B6,'UAT Checklist'!$H$2:$H$111,"N/A")</f>
        <v>0</v>
      </c>
      <c r="I6" s="7">
        <f t="shared" ref="I6:I27" si="0">IFERROR(E6/C6,0)</f>
        <v>0.8</v>
      </c>
    </row>
    <row r="7" spans="2:9" x14ac:dyDescent="0.3">
      <c r="B7" s="6" t="s">
        <v>32</v>
      </c>
      <c r="C7" s="6">
        <f>COUNTIF('UAT Checklist'!$B$2:$B$111,$B7)</f>
        <v>4</v>
      </c>
      <c r="D7" s="6">
        <f>COUNTIFS('UAT Checklist'!$B$2:$B$111,$B7,'UAT Checklist'!$H$2:$H$111,"Not Tested")</f>
        <v>0</v>
      </c>
      <c r="E7" s="6">
        <f>COUNTIFS('UAT Checklist'!$B$2:$B$111,$B7,'UAT Checklist'!$H$2:$H$111,"Pass")</f>
        <v>4</v>
      </c>
      <c r="F7" s="6">
        <f>COUNTIFS('UAT Checklist'!$B$2:$B$111,$B7,'UAT Checklist'!$H$2:$H$111,"Fail")</f>
        <v>0</v>
      </c>
      <c r="G7" s="6">
        <f>COUNTIFS('UAT Checklist'!$B$2:$B$111,$B7,'UAT Checklist'!$H$2:$H$111,"Blocked")</f>
        <v>0</v>
      </c>
      <c r="H7" s="6">
        <f>COUNTIFS('UAT Checklist'!$B$2:$B$111,$B7,'UAT Checklist'!$H$2:$H$111,"N/A")</f>
        <v>0</v>
      </c>
      <c r="I7" s="7">
        <f t="shared" si="0"/>
        <v>1</v>
      </c>
    </row>
    <row r="8" spans="2:9" x14ac:dyDescent="0.3">
      <c r="B8" s="6" t="s">
        <v>33</v>
      </c>
      <c r="C8" s="6">
        <f>COUNTIF('UAT Checklist'!$B$2:$B$111,$B8)</f>
        <v>5</v>
      </c>
      <c r="D8" s="6">
        <f>COUNTIFS('UAT Checklist'!$B$2:$B$111,$B8,'UAT Checklist'!$H$2:$H$111,"Not Tested")</f>
        <v>5</v>
      </c>
      <c r="E8" s="6">
        <f>COUNTIFS('UAT Checklist'!$B$2:$B$111,$B8,'UAT Checklist'!$H$2:$H$111,"Pass")</f>
        <v>0</v>
      </c>
      <c r="F8" s="6">
        <f>COUNTIFS('UAT Checklist'!$B$2:$B$111,$B8,'UAT Checklist'!$H$2:$H$111,"Fail")</f>
        <v>0</v>
      </c>
      <c r="G8" s="6">
        <f>COUNTIFS('UAT Checklist'!$B$2:$B$111,$B8,'UAT Checklist'!$H$2:$H$111,"Blocked")</f>
        <v>0</v>
      </c>
      <c r="H8" s="6">
        <f>COUNTIFS('UAT Checklist'!$B$2:$B$111,$B8,'UAT Checklist'!$H$2:$H$111,"N/A")</f>
        <v>0</v>
      </c>
      <c r="I8" s="7">
        <f t="shared" si="0"/>
        <v>0</v>
      </c>
    </row>
    <row r="9" spans="2:9" x14ac:dyDescent="0.3">
      <c r="B9" s="6" t="s">
        <v>34</v>
      </c>
      <c r="C9" s="6">
        <f>COUNTIF('UAT Checklist'!$B$2:$B$111,$B9)</f>
        <v>8</v>
      </c>
      <c r="D9" s="6">
        <f>COUNTIFS('UAT Checklist'!$B$2:$B$111,$B9,'UAT Checklist'!$H$2:$H$111,"Not Tested")</f>
        <v>8</v>
      </c>
      <c r="E9" s="6">
        <f>COUNTIFS('UAT Checklist'!$B$2:$B$111,$B9,'UAT Checklist'!$H$2:$H$111,"Pass")</f>
        <v>0</v>
      </c>
      <c r="F9" s="6">
        <f>COUNTIFS('UAT Checklist'!$B$2:$B$111,$B9,'UAT Checklist'!$H$2:$H$111,"Fail")</f>
        <v>0</v>
      </c>
      <c r="G9" s="6">
        <f>COUNTIFS('UAT Checklist'!$B$2:$B$111,$B9,'UAT Checklist'!$H$2:$H$111,"Blocked")</f>
        <v>0</v>
      </c>
      <c r="H9" s="6">
        <f>COUNTIFS('UAT Checklist'!$B$2:$B$111,$B9,'UAT Checklist'!$H$2:$H$111,"N/A")</f>
        <v>0</v>
      </c>
      <c r="I9" s="7">
        <f t="shared" si="0"/>
        <v>0</v>
      </c>
    </row>
    <row r="10" spans="2:9" x14ac:dyDescent="0.3">
      <c r="B10" s="6" t="s">
        <v>35</v>
      </c>
      <c r="C10" s="6">
        <f>COUNTIF('UAT Checklist'!$B$2:$B$111,$B10)</f>
        <v>4</v>
      </c>
      <c r="D10" s="6">
        <f>COUNTIFS('UAT Checklist'!$B$2:$B$111,$B10,'UAT Checklist'!$H$2:$H$111,"Not Tested")</f>
        <v>4</v>
      </c>
      <c r="E10" s="6">
        <f>COUNTIFS('UAT Checklist'!$B$2:$B$111,$B10,'UAT Checklist'!$H$2:$H$111,"Pass")</f>
        <v>0</v>
      </c>
      <c r="F10" s="6">
        <f>COUNTIFS('UAT Checklist'!$B$2:$B$111,$B10,'UAT Checklist'!$H$2:$H$111,"Fail")</f>
        <v>0</v>
      </c>
      <c r="G10" s="6">
        <f>COUNTIFS('UAT Checklist'!$B$2:$B$111,$B10,'UAT Checklist'!$H$2:$H$111,"Blocked")</f>
        <v>0</v>
      </c>
      <c r="H10" s="6">
        <f>COUNTIFS('UAT Checklist'!$B$2:$B$111,$B10,'UAT Checklist'!$H$2:$H$111,"N/A")</f>
        <v>0</v>
      </c>
      <c r="I10" s="7">
        <f t="shared" si="0"/>
        <v>0</v>
      </c>
    </row>
    <row r="11" spans="2:9" x14ac:dyDescent="0.3">
      <c r="B11" s="6" t="s">
        <v>36</v>
      </c>
      <c r="C11" s="6">
        <f>COUNTIF('UAT Checklist'!$B$2:$B$111,$B11)</f>
        <v>5</v>
      </c>
      <c r="D11" s="6">
        <f>COUNTIFS('UAT Checklist'!$B$2:$B$111,$B11,'UAT Checklist'!$H$2:$H$111,"Not Tested")</f>
        <v>5</v>
      </c>
      <c r="E11" s="6">
        <f>COUNTIFS('UAT Checklist'!$B$2:$B$111,$B11,'UAT Checklist'!$H$2:$H$111,"Pass")</f>
        <v>0</v>
      </c>
      <c r="F11" s="6">
        <f>COUNTIFS('UAT Checklist'!$B$2:$B$111,$B11,'UAT Checklist'!$H$2:$H$111,"Fail")</f>
        <v>0</v>
      </c>
      <c r="G11" s="6">
        <f>COUNTIFS('UAT Checklist'!$B$2:$B$111,$B11,'UAT Checklist'!$H$2:$H$111,"Blocked")</f>
        <v>0</v>
      </c>
      <c r="H11" s="6">
        <f>COUNTIFS('UAT Checklist'!$B$2:$B$111,$B11,'UAT Checklist'!$H$2:$H$111,"N/A")</f>
        <v>0</v>
      </c>
      <c r="I11" s="7">
        <f t="shared" si="0"/>
        <v>0</v>
      </c>
    </row>
    <row r="12" spans="2:9" x14ac:dyDescent="0.3">
      <c r="B12" s="6" t="s">
        <v>37</v>
      </c>
      <c r="C12" s="6">
        <f>COUNTIF('UAT Checklist'!$B$2:$B$111,$B12)</f>
        <v>6</v>
      </c>
      <c r="D12" s="6">
        <f>COUNTIFS('UAT Checklist'!$B$2:$B$111,$B12,'UAT Checklist'!$H$2:$H$111,"Not Tested")</f>
        <v>6</v>
      </c>
      <c r="E12" s="6">
        <f>COUNTIFS('UAT Checklist'!$B$2:$B$111,$B12,'UAT Checklist'!$H$2:$H$111,"Pass")</f>
        <v>0</v>
      </c>
      <c r="F12" s="6">
        <f>COUNTIFS('UAT Checklist'!$B$2:$B$111,$B12,'UAT Checklist'!$H$2:$H$111,"Fail")</f>
        <v>0</v>
      </c>
      <c r="G12" s="6">
        <f>COUNTIFS('UAT Checklist'!$B$2:$B$111,$B12,'UAT Checklist'!$H$2:$H$111,"Blocked")</f>
        <v>0</v>
      </c>
      <c r="H12" s="6">
        <f>COUNTIFS('UAT Checklist'!$B$2:$B$111,$B12,'UAT Checklist'!$H$2:$H$111,"N/A")</f>
        <v>0</v>
      </c>
      <c r="I12" s="7">
        <f t="shared" si="0"/>
        <v>0</v>
      </c>
    </row>
    <row r="13" spans="2:9" x14ac:dyDescent="0.3">
      <c r="B13" s="6" t="s">
        <v>38</v>
      </c>
      <c r="C13" s="6">
        <f>COUNTIF('UAT Checklist'!$B$2:$B$111,$B13)</f>
        <v>3</v>
      </c>
      <c r="D13" s="6">
        <f>COUNTIFS('UAT Checklist'!$B$2:$B$111,$B13,'UAT Checklist'!$H$2:$H$111,"Not Tested")</f>
        <v>3</v>
      </c>
      <c r="E13" s="6">
        <f>COUNTIFS('UAT Checklist'!$B$2:$B$111,$B13,'UAT Checklist'!$H$2:$H$111,"Pass")</f>
        <v>0</v>
      </c>
      <c r="F13" s="6">
        <f>COUNTIFS('UAT Checklist'!$B$2:$B$111,$B13,'UAT Checklist'!$H$2:$H$111,"Fail")</f>
        <v>0</v>
      </c>
      <c r="G13" s="6">
        <f>COUNTIFS('UAT Checklist'!$B$2:$B$111,$B13,'UAT Checklist'!$H$2:$H$111,"Blocked")</f>
        <v>0</v>
      </c>
      <c r="H13" s="6">
        <f>COUNTIFS('UAT Checklist'!$B$2:$B$111,$B13,'UAT Checklist'!$H$2:$H$111,"N/A")</f>
        <v>0</v>
      </c>
      <c r="I13" s="7">
        <f t="shared" si="0"/>
        <v>0</v>
      </c>
    </row>
    <row r="14" spans="2:9" x14ac:dyDescent="0.3">
      <c r="B14" s="6" t="s">
        <v>39</v>
      </c>
      <c r="C14" s="6">
        <f>COUNTIF('UAT Checklist'!$B$2:$B$111,$B14)</f>
        <v>4</v>
      </c>
      <c r="D14" s="6">
        <f>COUNTIFS('UAT Checklist'!$B$2:$B$111,$B14,'UAT Checklist'!$H$2:$H$111,"Not Tested")</f>
        <v>4</v>
      </c>
      <c r="E14" s="6">
        <f>COUNTIFS('UAT Checklist'!$B$2:$B$111,$B14,'UAT Checklist'!$H$2:$H$111,"Pass")</f>
        <v>0</v>
      </c>
      <c r="F14" s="6">
        <f>COUNTIFS('UAT Checklist'!$B$2:$B$111,$B14,'UAT Checklist'!$H$2:$H$111,"Fail")</f>
        <v>0</v>
      </c>
      <c r="G14" s="6">
        <f>COUNTIFS('UAT Checklist'!$B$2:$B$111,$B14,'UAT Checklist'!$H$2:$H$111,"Blocked")</f>
        <v>0</v>
      </c>
      <c r="H14" s="6">
        <f>COUNTIFS('UAT Checklist'!$B$2:$B$111,$B14,'UAT Checklist'!$H$2:$H$111,"N/A")</f>
        <v>0</v>
      </c>
      <c r="I14" s="7">
        <f t="shared" si="0"/>
        <v>0</v>
      </c>
    </row>
    <row r="15" spans="2:9" x14ac:dyDescent="0.3">
      <c r="B15" s="6" t="s">
        <v>40</v>
      </c>
      <c r="C15" s="6">
        <f>COUNTIF('UAT Checklist'!$B$2:$B$111,$B15)</f>
        <v>6</v>
      </c>
      <c r="D15" s="6">
        <f>COUNTIFS('UAT Checklist'!$B$2:$B$111,$B15,'UAT Checklist'!$H$2:$H$111,"Not Tested")</f>
        <v>6</v>
      </c>
      <c r="E15" s="6">
        <f>COUNTIFS('UAT Checklist'!$B$2:$B$111,$B15,'UAT Checklist'!$H$2:$H$111,"Pass")</f>
        <v>0</v>
      </c>
      <c r="F15" s="6">
        <f>COUNTIFS('UAT Checklist'!$B$2:$B$111,$B15,'UAT Checklist'!$H$2:$H$111,"Fail")</f>
        <v>0</v>
      </c>
      <c r="G15" s="6">
        <f>COUNTIFS('UAT Checklist'!$B$2:$B$111,$B15,'UAT Checklist'!$H$2:$H$111,"Blocked")</f>
        <v>0</v>
      </c>
      <c r="H15" s="6">
        <f>COUNTIFS('UAT Checklist'!$B$2:$B$111,$B15,'UAT Checklist'!$H$2:$H$111,"N/A")</f>
        <v>0</v>
      </c>
      <c r="I15" s="7">
        <f t="shared" si="0"/>
        <v>0</v>
      </c>
    </row>
    <row r="16" spans="2:9" x14ac:dyDescent="0.3">
      <c r="B16" s="6" t="s">
        <v>41</v>
      </c>
      <c r="C16" s="6">
        <f>COUNTIF('UAT Checklist'!$B$2:$B$111,$B16)</f>
        <v>3</v>
      </c>
      <c r="D16" s="6">
        <f>COUNTIFS('UAT Checklist'!$B$2:$B$111,$B16,'UAT Checklist'!$H$2:$H$111,"Not Tested")</f>
        <v>3</v>
      </c>
      <c r="E16" s="6">
        <f>COUNTIFS('UAT Checklist'!$B$2:$B$111,$B16,'UAT Checklist'!$H$2:$H$111,"Pass")</f>
        <v>0</v>
      </c>
      <c r="F16" s="6">
        <f>COUNTIFS('UAT Checklist'!$B$2:$B$111,$B16,'UAT Checklist'!$H$2:$H$111,"Fail")</f>
        <v>0</v>
      </c>
      <c r="G16" s="6">
        <f>COUNTIFS('UAT Checklist'!$B$2:$B$111,$B16,'UAT Checklist'!$H$2:$H$111,"Blocked")</f>
        <v>0</v>
      </c>
      <c r="H16" s="6">
        <f>COUNTIFS('UAT Checklist'!$B$2:$B$111,$B16,'UAT Checklist'!$H$2:$H$111,"N/A")</f>
        <v>0</v>
      </c>
      <c r="I16" s="7">
        <f t="shared" si="0"/>
        <v>0</v>
      </c>
    </row>
    <row r="17" spans="2:9" x14ac:dyDescent="0.3">
      <c r="B17" s="6" t="s">
        <v>42</v>
      </c>
      <c r="C17" s="6">
        <f>COUNTIF('UAT Checklist'!$B$2:$B$111,$B17)</f>
        <v>6</v>
      </c>
      <c r="D17" s="6">
        <f>COUNTIFS('UAT Checklist'!$B$2:$B$111,$B17,'UAT Checklist'!$H$2:$H$111,"Not Tested")</f>
        <v>6</v>
      </c>
      <c r="E17" s="6">
        <f>COUNTIFS('UAT Checklist'!$B$2:$B$111,$B17,'UAT Checklist'!$H$2:$H$111,"Pass")</f>
        <v>0</v>
      </c>
      <c r="F17" s="6">
        <f>COUNTIFS('UAT Checklist'!$B$2:$B$111,$B17,'UAT Checklist'!$H$2:$H$111,"Fail")</f>
        <v>0</v>
      </c>
      <c r="G17" s="6">
        <f>COUNTIFS('UAT Checklist'!$B$2:$B$111,$B17,'UAT Checklist'!$H$2:$H$111,"Blocked")</f>
        <v>0</v>
      </c>
      <c r="H17" s="6">
        <f>COUNTIFS('UAT Checklist'!$B$2:$B$111,$B17,'UAT Checklist'!$H$2:$H$111,"N/A")</f>
        <v>0</v>
      </c>
      <c r="I17" s="7">
        <f t="shared" si="0"/>
        <v>0</v>
      </c>
    </row>
    <row r="18" spans="2:9" x14ac:dyDescent="0.3">
      <c r="B18" s="6" t="s">
        <v>43</v>
      </c>
      <c r="C18" s="6">
        <f>COUNTIF('UAT Checklist'!$B$2:$B$111,$B18)</f>
        <v>4</v>
      </c>
      <c r="D18" s="6">
        <f>COUNTIFS('UAT Checklist'!$B$2:$B$111,$B18,'UAT Checklist'!$H$2:$H$111,"Not Tested")</f>
        <v>4</v>
      </c>
      <c r="E18" s="6">
        <f>COUNTIFS('UAT Checklist'!$B$2:$B$111,$B18,'UAT Checklist'!$H$2:$H$111,"Pass")</f>
        <v>0</v>
      </c>
      <c r="F18" s="6">
        <f>COUNTIFS('UAT Checklist'!$B$2:$B$111,$B18,'UAT Checklist'!$H$2:$H$111,"Fail")</f>
        <v>0</v>
      </c>
      <c r="G18" s="6">
        <f>COUNTIFS('UAT Checklist'!$B$2:$B$111,$B18,'UAT Checklist'!$H$2:$H$111,"Blocked")</f>
        <v>0</v>
      </c>
      <c r="H18" s="6">
        <f>COUNTIFS('UAT Checklist'!$B$2:$B$111,$B18,'UAT Checklist'!$H$2:$H$111,"N/A")</f>
        <v>0</v>
      </c>
      <c r="I18" s="7">
        <f t="shared" si="0"/>
        <v>0</v>
      </c>
    </row>
    <row r="19" spans="2:9" x14ac:dyDescent="0.3">
      <c r="B19" s="6" t="s">
        <v>44</v>
      </c>
      <c r="C19" s="6">
        <f>COUNTIF('UAT Checklist'!$B$2:$B$111,$B19)</f>
        <v>6</v>
      </c>
      <c r="D19" s="6">
        <f>COUNTIFS('UAT Checklist'!$B$2:$B$111,$B19,'UAT Checklist'!$H$2:$H$111,"Not Tested")</f>
        <v>6</v>
      </c>
      <c r="E19" s="6">
        <f>COUNTIFS('UAT Checklist'!$B$2:$B$111,$B19,'UAT Checklist'!$H$2:$H$111,"Pass")</f>
        <v>0</v>
      </c>
      <c r="F19" s="6">
        <f>COUNTIFS('UAT Checklist'!$B$2:$B$111,$B19,'UAT Checklist'!$H$2:$H$111,"Fail")</f>
        <v>0</v>
      </c>
      <c r="G19" s="6">
        <f>COUNTIFS('UAT Checklist'!$B$2:$B$111,$B19,'UAT Checklist'!$H$2:$H$111,"Blocked")</f>
        <v>0</v>
      </c>
      <c r="H19" s="6">
        <f>COUNTIFS('UAT Checklist'!$B$2:$B$111,$B19,'UAT Checklist'!$H$2:$H$111,"N/A")</f>
        <v>0</v>
      </c>
      <c r="I19" s="7">
        <f t="shared" si="0"/>
        <v>0</v>
      </c>
    </row>
    <row r="20" spans="2:9" x14ac:dyDescent="0.3">
      <c r="B20" s="6" t="s">
        <v>45</v>
      </c>
      <c r="C20" s="6">
        <f>COUNTIF('UAT Checklist'!$B$2:$B$111,$B20)</f>
        <v>4</v>
      </c>
      <c r="D20" s="6">
        <f>COUNTIFS('UAT Checklist'!$B$2:$B$111,$B20,'UAT Checklist'!$H$2:$H$111,"Not Tested")</f>
        <v>4</v>
      </c>
      <c r="E20" s="6">
        <f>COUNTIFS('UAT Checklist'!$B$2:$B$111,$B20,'UAT Checklist'!$H$2:$H$111,"Pass")</f>
        <v>0</v>
      </c>
      <c r="F20" s="6">
        <f>COUNTIFS('UAT Checklist'!$B$2:$B$111,$B20,'UAT Checklist'!$H$2:$H$111,"Fail")</f>
        <v>0</v>
      </c>
      <c r="G20" s="6">
        <f>COUNTIFS('UAT Checklist'!$B$2:$B$111,$B20,'UAT Checklist'!$H$2:$H$111,"Blocked")</f>
        <v>0</v>
      </c>
      <c r="H20" s="6">
        <f>COUNTIFS('UAT Checklist'!$B$2:$B$111,$B20,'UAT Checklist'!$H$2:$H$111,"N/A")</f>
        <v>0</v>
      </c>
      <c r="I20" s="7">
        <f t="shared" si="0"/>
        <v>0</v>
      </c>
    </row>
    <row r="21" spans="2:9" x14ac:dyDescent="0.3">
      <c r="B21" s="6" t="s">
        <v>46</v>
      </c>
      <c r="C21" s="6">
        <f>COUNTIF('UAT Checklist'!$B$2:$B$111,$B21)</f>
        <v>5</v>
      </c>
      <c r="D21" s="6">
        <f>COUNTIFS('UAT Checklist'!$B$2:$B$111,$B21,'UAT Checklist'!$H$2:$H$111,"Not Tested")</f>
        <v>5</v>
      </c>
      <c r="E21" s="6">
        <f>COUNTIFS('UAT Checklist'!$B$2:$B$111,$B21,'UAT Checklist'!$H$2:$H$111,"Pass")</f>
        <v>0</v>
      </c>
      <c r="F21" s="6">
        <f>COUNTIFS('UAT Checklist'!$B$2:$B$111,$B21,'UAT Checklist'!$H$2:$H$111,"Fail")</f>
        <v>0</v>
      </c>
      <c r="G21" s="6">
        <f>COUNTIFS('UAT Checklist'!$B$2:$B$111,$B21,'UAT Checklist'!$H$2:$H$111,"Blocked")</f>
        <v>0</v>
      </c>
      <c r="H21" s="6">
        <f>COUNTIFS('UAT Checklist'!$B$2:$B$111,$B21,'UAT Checklist'!$H$2:$H$111,"N/A")</f>
        <v>0</v>
      </c>
      <c r="I21" s="7">
        <f t="shared" si="0"/>
        <v>0</v>
      </c>
    </row>
    <row r="22" spans="2:9" x14ac:dyDescent="0.3">
      <c r="B22" s="6" t="s">
        <v>47</v>
      </c>
      <c r="C22" s="6">
        <f>COUNTIF('UAT Checklist'!$B$2:$B$111,$B22)</f>
        <v>4</v>
      </c>
      <c r="D22" s="6">
        <f>COUNTIFS('UAT Checklist'!$B$2:$B$111,$B22,'UAT Checklist'!$H$2:$H$111,"Not Tested")</f>
        <v>4</v>
      </c>
      <c r="E22" s="6">
        <f>COUNTIFS('UAT Checklist'!$B$2:$B$111,$B22,'UAT Checklist'!$H$2:$H$111,"Pass")</f>
        <v>0</v>
      </c>
      <c r="F22" s="6">
        <f>COUNTIFS('UAT Checklist'!$B$2:$B$111,$B22,'UAT Checklist'!$H$2:$H$111,"Fail")</f>
        <v>0</v>
      </c>
      <c r="G22" s="6">
        <f>COUNTIFS('UAT Checklist'!$B$2:$B$111,$B22,'UAT Checklist'!$H$2:$H$111,"Blocked")</f>
        <v>0</v>
      </c>
      <c r="H22" s="6">
        <f>COUNTIFS('UAT Checklist'!$B$2:$B$111,$B22,'UAT Checklist'!$H$2:$H$111,"N/A")</f>
        <v>0</v>
      </c>
      <c r="I22" s="7">
        <f t="shared" si="0"/>
        <v>0</v>
      </c>
    </row>
    <row r="23" spans="2:9" x14ac:dyDescent="0.3">
      <c r="B23" s="6" t="s">
        <v>48</v>
      </c>
      <c r="C23" s="6">
        <f>COUNTIF('UAT Checklist'!$B$2:$B$111,$B23)</f>
        <v>6</v>
      </c>
      <c r="D23" s="6">
        <f>COUNTIFS('UAT Checklist'!$B$2:$B$111,$B23,'UAT Checklist'!$H$2:$H$111,"Not Tested")</f>
        <v>6</v>
      </c>
      <c r="E23" s="6">
        <f>COUNTIFS('UAT Checklist'!$B$2:$B$111,$B23,'UAT Checklist'!$H$2:$H$111,"Pass")</f>
        <v>0</v>
      </c>
      <c r="F23" s="6">
        <f>COUNTIFS('UAT Checklist'!$B$2:$B$111,$B23,'UAT Checklist'!$H$2:$H$111,"Fail")</f>
        <v>0</v>
      </c>
      <c r="G23" s="6">
        <f>COUNTIFS('UAT Checklist'!$B$2:$B$111,$B23,'UAT Checklist'!$H$2:$H$111,"Blocked")</f>
        <v>0</v>
      </c>
      <c r="H23" s="6">
        <f>COUNTIFS('UAT Checklist'!$B$2:$B$111,$B23,'UAT Checklist'!$H$2:$H$111,"N/A")</f>
        <v>0</v>
      </c>
      <c r="I23" s="7">
        <f t="shared" si="0"/>
        <v>0</v>
      </c>
    </row>
    <row r="24" spans="2:9" x14ac:dyDescent="0.3">
      <c r="B24" s="6" t="s">
        <v>49</v>
      </c>
      <c r="C24" s="6">
        <f>COUNTIF('UAT Checklist'!$B$2:$B$111,$B24)</f>
        <v>3</v>
      </c>
      <c r="D24" s="6">
        <f>COUNTIFS('UAT Checklist'!$B$2:$B$111,$B24,'UAT Checklist'!$H$2:$H$111,"Not Tested")</f>
        <v>3</v>
      </c>
      <c r="E24" s="6">
        <f>COUNTIFS('UAT Checklist'!$B$2:$B$111,$B24,'UAT Checklist'!$H$2:$H$111,"Pass")</f>
        <v>0</v>
      </c>
      <c r="F24" s="6">
        <f>COUNTIFS('UAT Checklist'!$B$2:$B$111,$B24,'UAT Checklist'!$H$2:$H$111,"Fail")</f>
        <v>0</v>
      </c>
      <c r="G24" s="6">
        <f>COUNTIFS('UAT Checklist'!$B$2:$B$111,$B24,'UAT Checklist'!$H$2:$H$111,"Blocked")</f>
        <v>0</v>
      </c>
      <c r="H24" s="6">
        <f>COUNTIFS('UAT Checklist'!$B$2:$B$111,$B24,'UAT Checklist'!$H$2:$H$111,"N/A")</f>
        <v>0</v>
      </c>
      <c r="I24" s="7">
        <f t="shared" si="0"/>
        <v>0</v>
      </c>
    </row>
    <row r="25" spans="2:9" x14ac:dyDescent="0.3">
      <c r="B25" s="6" t="s">
        <v>50</v>
      </c>
      <c r="C25" s="6">
        <f>COUNTIF('UAT Checklist'!$B$2:$B$111,$B25)</f>
        <v>8</v>
      </c>
      <c r="D25" s="6">
        <f>COUNTIFS('UAT Checklist'!$B$2:$B$111,$B25,'UAT Checklist'!$H$2:$H$111,"Not Tested")</f>
        <v>8</v>
      </c>
      <c r="E25" s="6">
        <f>COUNTIFS('UAT Checklist'!$B$2:$B$111,$B25,'UAT Checklist'!$H$2:$H$111,"Pass")</f>
        <v>0</v>
      </c>
      <c r="F25" s="6">
        <f>COUNTIFS('UAT Checklist'!$B$2:$B$111,$B25,'UAT Checklist'!$H$2:$H$111,"Fail")</f>
        <v>0</v>
      </c>
      <c r="G25" s="6">
        <f>COUNTIFS('UAT Checklist'!$B$2:$B$111,$B25,'UAT Checklist'!$H$2:$H$111,"Blocked")</f>
        <v>0</v>
      </c>
      <c r="H25" s="6">
        <f>COUNTIFS('UAT Checklist'!$B$2:$B$111,$B25,'UAT Checklist'!$H$2:$H$111,"N/A")</f>
        <v>0</v>
      </c>
      <c r="I25" s="7">
        <f t="shared" si="0"/>
        <v>0</v>
      </c>
    </row>
    <row r="26" spans="2:9" x14ac:dyDescent="0.3">
      <c r="B26" s="6" t="s">
        <v>51</v>
      </c>
      <c r="C26" s="6">
        <f>COUNTIF('UAT Checklist'!$B$2:$B$111,$B26)</f>
        <v>6</v>
      </c>
      <c r="D26" s="6">
        <f>COUNTIFS('UAT Checklist'!$B$2:$B$111,$B26,'UAT Checklist'!$H$2:$H$111,"Not Tested")</f>
        <v>6</v>
      </c>
      <c r="E26" s="6">
        <f>COUNTIFS('UAT Checklist'!$B$2:$B$111,$B26,'UAT Checklist'!$H$2:$H$111,"Pass")</f>
        <v>0</v>
      </c>
      <c r="F26" s="6">
        <f>COUNTIFS('UAT Checklist'!$B$2:$B$111,$B26,'UAT Checklist'!$H$2:$H$111,"Fail")</f>
        <v>0</v>
      </c>
      <c r="G26" s="6">
        <f>COUNTIFS('UAT Checklist'!$B$2:$B$111,$B26,'UAT Checklist'!$H$2:$H$111,"Blocked")</f>
        <v>0</v>
      </c>
      <c r="H26" s="6">
        <f>COUNTIFS('UAT Checklist'!$B$2:$B$111,$B26,'UAT Checklist'!$H$2:$H$111,"N/A")</f>
        <v>0</v>
      </c>
      <c r="I26" s="7">
        <f t="shared" si="0"/>
        <v>0</v>
      </c>
    </row>
    <row r="27" spans="2:9" x14ac:dyDescent="0.3">
      <c r="B27" s="8" t="s">
        <v>52</v>
      </c>
      <c r="C27" s="8">
        <f t="shared" ref="C27:H27" si="1">SUM(C6:C26)</f>
        <v>110</v>
      </c>
      <c r="D27" s="8">
        <f t="shared" si="1"/>
        <v>98</v>
      </c>
      <c r="E27" s="8">
        <f t="shared" si="1"/>
        <v>12</v>
      </c>
      <c r="F27" s="8">
        <f t="shared" si="1"/>
        <v>0</v>
      </c>
      <c r="G27" s="8">
        <f t="shared" si="1"/>
        <v>0</v>
      </c>
      <c r="H27" s="8">
        <f t="shared" si="1"/>
        <v>0</v>
      </c>
      <c r="I27" s="9">
        <f t="shared" si="0"/>
        <v>0.10909090909090909</v>
      </c>
    </row>
  </sheetData>
  <conditionalFormatting sqref="I6:I27">
    <cfRule type="colorScale" priority="2">
      <colorScale>
        <cfvo type="num" val="0"/>
        <cfvo type="num" val="0.5"/>
        <cfvo type="num" val="1"/>
        <color rgb="FFFCEBEB"/>
        <color rgb="FFFFF3CD"/>
        <color rgb="FFE1F5EE"/>
      </colorScale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1"/>
  <sheetViews>
    <sheetView tabSelected="1" zoomScaleNormal="100" workbookViewId="0">
      <pane xSplit="3" ySplit="1" topLeftCell="D11" activePane="bottomRight" state="frozen"/>
      <selection pane="topRight" activeCell="D1" sqref="D1"/>
      <selection pane="bottomLeft" activeCell="A2" sqref="A2"/>
      <selection pane="bottomRight" activeCell="I15" sqref="I15"/>
    </sheetView>
  </sheetViews>
  <sheetFormatPr defaultColWidth="8.6640625" defaultRowHeight="14.4" x14ac:dyDescent="0.3"/>
  <cols>
    <col min="1" max="1" width="5" customWidth="1"/>
    <col min="2" max="2" width="15.6640625" customWidth="1"/>
    <col min="3" max="3" width="10" customWidth="1"/>
    <col min="4" max="4" width="28" customWidth="1"/>
    <col min="5" max="5" width="45" customWidth="1"/>
    <col min="6" max="6" width="42" customWidth="1"/>
    <col min="7" max="7" width="10" customWidth="1"/>
    <col min="8" max="8" width="13" customWidth="1"/>
    <col min="9" max="9" width="30" customWidth="1"/>
    <col min="10" max="10" width="14" customWidth="1"/>
    <col min="11" max="11" width="13" customWidth="1"/>
  </cols>
  <sheetData>
    <row r="1" spans="1:11" x14ac:dyDescent="0.3">
      <c r="A1" s="5" t="s">
        <v>53</v>
      </c>
      <c r="B1" s="5" t="s">
        <v>23</v>
      </c>
      <c r="C1" s="5" t="s">
        <v>54</v>
      </c>
      <c r="D1" s="5" t="s">
        <v>55</v>
      </c>
      <c r="E1" s="5" t="s">
        <v>56</v>
      </c>
      <c r="F1" s="5" t="s">
        <v>57</v>
      </c>
      <c r="G1" s="5" t="s">
        <v>58</v>
      </c>
      <c r="H1" s="5" t="s">
        <v>59</v>
      </c>
      <c r="I1" s="5" t="s">
        <v>60</v>
      </c>
      <c r="J1" s="5" t="s">
        <v>61</v>
      </c>
      <c r="K1" s="5" t="s">
        <v>62</v>
      </c>
    </row>
    <row r="2" spans="1:11" ht="59.4" customHeight="1" x14ac:dyDescent="0.3">
      <c r="A2" s="10">
        <v>1</v>
      </c>
      <c r="B2" s="11" t="s">
        <v>31</v>
      </c>
      <c r="C2" s="10" t="s">
        <v>63</v>
      </c>
      <c r="D2" s="11" t="s">
        <v>64</v>
      </c>
      <c r="E2" s="11" t="s">
        <v>65</v>
      </c>
      <c r="F2" s="11" t="s">
        <v>66</v>
      </c>
      <c r="G2" s="10" t="s">
        <v>67</v>
      </c>
      <c r="H2" s="10" t="s">
        <v>26</v>
      </c>
      <c r="I2" s="11" t="s">
        <v>504</v>
      </c>
      <c r="J2" s="10"/>
      <c r="K2" s="10"/>
    </row>
    <row r="3" spans="1:11" ht="45.75" customHeight="1" x14ac:dyDescent="0.3">
      <c r="A3" s="10">
        <v>2</v>
      </c>
      <c r="B3" s="11" t="s">
        <v>31</v>
      </c>
      <c r="C3" s="10" t="s">
        <v>68</v>
      </c>
      <c r="D3" s="11" t="s">
        <v>69</v>
      </c>
      <c r="E3" s="11" t="s">
        <v>70</v>
      </c>
      <c r="F3" s="11" t="s">
        <v>71</v>
      </c>
      <c r="G3" s="10" t="s">
        <v>67</v>
      </c>
      <c r="H3" s="10" t="s">
        <v>26</v>
      </c>
      <c r="I3" s="11"/>
      <c r="J3" s="10"/>
      <c r="K3" s="10"/>
    </row>
    <row r="4" spans="1:11" ht="45.75" customHeight="1" x14ac:dyDescent="0.3">
      <c r="A4" s="10">
        <v>3</v>
      </c>
      <c r="B4" s="11" t="s">
        <v>31</v>
      </c>
      <c r="C4" s="10" t="s">
        <v>72</v>
      </c>
      <c r="D4" s="11" t="s">
        <v>73</v>
      </c>
      <c r="E4" s="11" t="s">
        <v>74</v>
      </c>
      <c r="F4" s="11" t="s">
        <v>75</v>
      </c>
      <c r="G4" s="10" t="s">
        <v>76</v>
      </c>
      <c r="H4" s="10" t="s">
        <v>26</v>
      </c>
      <c r="I4" s="11"/>
      <c r="J4" s="10"/>
      <c r="K4" s="10"/>
    </row>
    <row r="5" spans="1:11" ht="45.75" customHeight="1" x14ac:dyDescent="0.3">
      <c r="A5" s="10">
        <v>4</v>
      </c>
      <c r="B5" s="11" t="s">
        <v>31</v>
      </c>
      <c r="C5" s="10" t="s">
        <v>77</v>
      </c>
      <c r="D5" s="11" t="s">
        <v>78</v>
      </c>
      <c r="E5" s="11" t="s">
        <v>79</v>
      </c>
      <c r="F5" s="11" t="s">
        <v>80</v>
      </c>
      <c r="G5" s="10" t="s">
        <v>67</v>
      </c>
      <c r="H5" s="10" t="s">
        <v>26</v>
      </c>
      <c r="I5" s="11"/>
      <c r="J5" s="10"/>
      <c r="K5" s="10"/>
    </row>
    <row r="6" spans="1:11" ht="45.75" customHeight="1" x14ac:dyDescent="0.3">
      <c r="A6" s="10">
        <v>5</v>
      </c>
      <c r="B6" s="11" t="s">
        <v>31</v>
      </c>
      <c r="C6" s="10" t="s">
        <v>81</v>
      </c>
      <c r="D6" s="11" t="s">
        <v>82</v>
      </c>
      <c r="E6" s="11" t="s">
        <v>83</v>
      </c>
      <c r="F6" s="11" t="s">
        <v>84</v>
      </c>
      <c r="G6" s="10" t="s">
        <v>67</v>
      </c>
      <c r="H6" s="10" t="s">
        <v>26</v>
      </c>
      <c r="I6" s="11"/>
      <c r="J6" s="10"/>
      <c r="K6" s="10"/>
    </row>
    <row r="7" spans="1:11" ht="45.75" customHeight="1" x14ac:dyDescent="0.3">
      <c r="A7" s="10">
        <v>6</v>
      </c>
      <c r="B7" s="11" t="s">
        <v>31</v>
      </c>
      <c r="C7" s="10" t="s">
        <v>85</v>
      </c>
      <c r="D7" s="11" t="s">
        <v>86</v>
      </c>
      <c r="E7" s="11" t="s">
        <v>87</v>
      </c>
      <c r="F7" s="11" t="s">
        <v>88</v>
      </c>
      <c r="G7" s="10" t="s">
        <v>67</v>
      </c>
      <c r="H7" s="10" t="s">
        <v>26</v>
      </c>
      <c r="I7" s="11"/>
      <c r="J7" s="10"/>
      <c r="K7" s="10"/>
    </row>
    <row r="8" spans="1:11" ht="45.75" customHeight="1" x14ac:dyDescent="0.3">
      <c r="A8" s="10">
        <v>7</v>
      </c>
      <c r="B8" s="11" t="s">
        <v>31</v>
      </c>
      <c r="C8" s="10" t="s">
        <v>89</v>
      </c>
      <c r="D8" s="11" t="s">
        <v>90</v>
      </c>
      <c r="E8" s="11" t="s">
        <v>91</v>
      </c>
      <c r="F8" s="11" t="s">
        <v>92</v>
      </c>
      <c r="G8" s="10" t="s">
        <v>67</v>
      </c>
      <c r="H8" s="10" t="s">
        <v>26</v>
      </c>
      <c r="I8" s="11"/>
      <c r="J8" s="10"/>
      <c r="K8" s="10"/>
    </row>
    <row r="9" spans="1:11" ht="45.75" customHeight="1" x14ac:dyDescent="0.3">
      <c r="A9" s="10">
        <v>8</v>
      </c>
      <c r="B9" s="11" t="s">
        <v>31</v>
      </c>
      <c r="C9" s="10" t="s">
        <v>93</v>
      </c>
      <c r="D9" s="11" t="s">
        <v>94</v>
      </c>
      <c r="E9" s="11" t="s">
        <v>95</v>
      </c>
      <c r="F9" s="11" t="s">
        <v>96</v>
      </c>
      <c r="G9" s="10" t="s">
        <v>76</v>
      </c>
      <c r="H9" s="10" t="s">
        <v>26</v>
      </c>
      <c r="I9" s="11"/>
      <c r="J9" s="10"/>
      <c r="K9" s="10"/>
    </row>
    <row r="10" spans="1:11" ht="45.75" customHeight="1" x14ac:dyDescent="0.3">
      <c r="A10" s="10">
        <v>9</v>
      </c>
      <c r="B10" s="11" t="s">
        <v>31</v>
      </c>
      <c r="C10" s="10" t="s">
        <v>97</v>
      </c>
      <c r="D10" s="11" t="s">
        <v>98</v>
      </c>
      <c r="E10" s="11" t="s">
        <v>99</v>
      </c>
      <c r="F10" s="11" t="s">
        <v>100</v>
      </c>
      <c r="G10" s="10" t="s">
        <v>76</v>
      </c>
      <c r="H10" s="10" t="s">
        <v>25</v>
      </c>
      <c r="I10" s="11"/>
      <c r="J10" s="10"/>
      <c r="K10" s="10"/>
    </row>
    <row r="11" spans="1:11" ht="45.75" customHeight="1" x14ac:dyDescent="0.3">
      <c r="A11" s="10">
        <v>10</v>
      </c>
      <c r="B11" s="11" t="s">
        <v>31</v>
      </c>
      <c r="C11" s="10" t="s">
        <v>101</v>
      </c>
      <c r="D11" s="11" t="s">
        <v>102</v>
      </c>
      <c r="E11" s="11" t="s">
        <v>103</v>
      </c>
      <c r="F11" s="11" t="s">
        <v>104</v>
      </c>
      <c r="G11" s="10" t="s">
        <v>76</v>
      </c>
      <c r="H11" s="10" t="s">
        <v>25</v>
      </c>
      <c r="I11" s="11"/>
      <c r="J11" s="10"/>
      <c r="K11" s="10"/>
    </row>
    <row r="12" spans="1:11" ht="45.75" customHeight="1" x14ac:dyDescent="0.3">
      <c r="A12" s="10">
        <v>11</v>
      </c>
      <c r="B12" s="11" t="s">
        <v>32</v>
      </c>
      <c r="C12" s="10" t="s">
        <v>105</v>
      </c>
      <c r="D12" s="11" t="s">
        <v>106</v>
      </c>
      <c r="E12" s="11" t="s">
        <v>107</v>
      </c>
      <c r="F12" s="11" t="s">
        <v>108</v>
      </c>
      <c r="G12" s="10" t="s">
        <v>67</v>
      </c>
      <c r="H12" s="10" t="s">
        <v>26</v>
      </c>
      <c r="I12" s="11"/>
      <c r="J12" s="10"/>
      <c r="K12" s="10"/>
    </row>
    <row r="13" spans="1:11" ht="45.75" customHeight="1" x14ac:dyDescent="0.3">
      <c r="A13" s="10">
        <v>12</v>
      </c>
      <c r="B13" s="11" t="s">
        <v>32</v>
      </c>
      <c r="C13" s="10" t="s">
        <v>109</v>
      </c>
      <c r="D13" s="11" t="s">
        <v>110</v>
      </c>
      <c r="E13" s="11" t="s">
        <v>111</v>
      </c>
      <c r="F13" s="11" t="s">
        <v>112</v>
      </c>
      <c r="G13" s="10" t="s">
        <v>67</v>
      </c>
      <c r="H13" s="10" t="s">
        <v>26</v>
      </c>
      <c r="I13" s="11"/>
      <c r="J13" s="10"/>
      <c r="K13" s="10"/>
    </row>
    <row r="14" spans="1:11" ht="45.75" customHeight="1" x14ac:dyDescent="0.3">
      <c r="A14" s="10">
        <v>13</v>
      </c>
      <c r="B14" s="11" t="s">
        <v>32</v>
      </c>
      <c r="C14" s="10" t="s">
        <v>113</v>
      </c>
      <c r="D14" s="11" t="s">
        <v>114</v>
      </c>
      <c r="E14" s="11" t="s">
        <v>115</v>
      </c>
      <c r="F14" s="11" t="s">
        <v>116</v>
      </c>
      <c r="G14" s="10" t="s">
        <v>76</v>
      </c>
      <c r="H14" s="10" t="s">
        <v>26</v>
      </c>
      <c r="I14" s="11"/>
      <c r="J14" s="10"/>
      <c r="K14" s="10"/>
    </row>
    <row r="15" spans="1:11" ht="45.75" customHeight="1" x14ac:dyDescent="0.3">
      <c r="A15" s="10">
        <v>14</v>
      </c>
      <c r="B15" s="11" t="s">
        <v>32</v>
      </c>
      <c r="C15" s="10" t="s">
        <v>117</v>
      </c>
      <c r="D15" s="11" t="s">
        <v>118</v>
      </c>
      <c r="E15" s="11" t="s">
        <v>119</v>
      </c>
      <c r="F15" s="11" t="s">
        <v>120</v>
      </c>
      <c r="G15" s="10" t="s">
        <v>67</v>
      </c>
      <c r="H15" s="10" t="s">
        <v>26</v>
      </c>
      <c r="I15" s="11"/>
      <c r="J15" s="10"/>
      <c r="K15" s="10"/>
    </row>
    <row r="16" spans="1:11" ht="45.75" customHeight="1" x14ac:dyDescent="0.3">
      <c r="A16" s="10">
        <v>15</v>
      </c>
      <c r="B16" s="11" t="s">
        <v>33</v>
      </c>
      <c r="C16" s="10" t="s">
        <v>121</v>
      </c>
      <c r="D16" s="11" t="s">
        <v>122</v>
      </c>
      <c r="E16" s="11" t="s">
        <v>123</v>
      </c>
      <c r="F16" s="11" t="s">
        <v>124</v>
      </c>
      <c r="G16" s="10" t="s">
        <v>76</v>
      </c>
      <c r="H16" s="10" t="s">
        <v>25</v>
      </c>
      <c r="I16" s="11"/>
      <c r="J16" s="10"/>
      <c r="K16" s="10"/>
    </row>
    <row r="17" spans="1:11" ht="45.75" customHeight="1" x14ac:dyDescent="0.3">
      <c r="A17" s="10">
        <v>16</v>
      </c>
      <c r="B17" s="11" t="s">
        <v>33</v>
      </c>
      <c r="C17" s="10" t="s">
        <v>125</v>
      </c>
      <c r="D17" s="11" t="s">
        <v>126</v>
      </c>
      <c r="E17" s="11" t="s">
        <v>127</v>
      </c>
      <c r="F17" s="11" t="s">
        <v>128</v>
      </c>
      <c r="G17" s="10" t="s">
        <v>67</v>
      </c>
      <c r="H17" s="10" t="s">
        <v>25</v>
      </c>
      <c r="I17" s="11"/>
      <c r="J17" s="10"/>
      <c r="K17" s="10"/>
    </row>
    <row r="18" spans="1:11" ht="45.75" customHeight="1" x14ac:dyDescent="0.3">
      <c r="A18" s="10">
        <v>17</v>
      </c>
      <c r="B18" s="11" t="s">
        <v>33</v>
      </c>
      <c r="C18" s="10" t="s">
        <v>129</v>
      </c>
      <c r="D18" s="11" t="s">
        <v>130</v>
      </c>
      <c r="E18" s="11" t="s">
        <v>131</v>
      </c>
      <c r="F18" s="11" t="s">
        <v>132</v>
      </c>
      <c r="G18" s="10" t="s">
        <v>67</v>
      </c>
      <c r="H18" s="10" t="s">
        <v>25</v>
      </c>
      <c r="I18" s="11"/>
      <c r="J18" s="10"/>
      <c r="K18" s="10"/>
    </row>
    <row r="19" spans="1:11" ht="45.75" customHeight="1" x14ac:dyDescent="0.3">
      <c r="A19" s="10">
        <v>18</v>
      </c>
      <c r="B19" s="11" t="s">
        <v>33</v>
      </c>
      <c r="C19" s="10" t="s">
        <v>133</v>
      </c>
      <c r="D19" s="11" t="s">
        <v>134</v>
      </c>
      <c r="E19" s="11" t="s">
        <v>135</v>
      </c>
      <c r="F19" s="11" t="s">
        <v>136</v>
      </c>
      <c r="G19" s="10" t="s">
        <v>76</v>
      </c>
      <c r="H19" s="10" t="s">
        <v>25</v>
      </c>
      <c r="I19" s="11"/>
      <c r="J19" s="10"/>
      <c r="K19" s="10"/>
    </row>
    <row r="20" spans="1:11" ht="45.75" customHeight="1" x14ac:dyDescent="0.3">
      <c r="A20" s="10">
        <v>19</v>
      </c>
      <c r="B20" s="11" t="s">
        <v>33</v>
      </c>
      <c r="C20" s="10" t="s">
        <v>137</v>
      </c>
      <c r="D20" s="11" t="s">
        <v>138</v>
      </c>
      <c r="E20" s="11" t="s">
        <v>139</v>
      </c>
      <c r="F20" s="11" t="s">
        <v>140</v>
      </c>
      <c r="G20" s="10" t="s">
        <v>141</v>
      </c>
      <c r="H20" s="10" t="s">
        <v>25</v>
      </c>
      <c r="I20" s="11"/>
      <c r="J20" s="10"/>
      <c r="K20" s="10"/>
    </row>
    <row r="21" spans="1:11" ht="45.75" customHeight="1" x14ac:dyDescent="0.3">
      <c r="A21" s="10">
        <v>20</v>
      </c>
      <c r="B21" s="11" t="s">
        <v>34</v>
      </c>
      <c r="C21" s="10" t="s">
        <v>142</v>
      </c>
      <c r="D21" s="11" t="s">
        <v>143</v>
      </c>
      <c r="E21" s="11" t="s">
        <v>144</v>
      </c>
      <c r="F21" s="11" t="s">
        <v>145</v>
      </c>
      <c r="G21" s="10" t="s">
        <v>67</v>
      </c>
      <c r="H21" s="10" t="s">
        <v>25</v>
      </c>
      <c r="I21" s="11"/>
      <c r="J21" s="10"/>
      <c r="K21" s="10"/>
    </row>
    <row r="22" spans="1:11" ht="45.75" customHeight="1" x14ac:dyDescent="0.3">
      <c r="A22" s="10">
        <v>21</v>
      </c>
      <c r="B22" s="11" t="s">
        <v>34</v>
      </c>
      <c r="C22" s="10" t="s">
        <v>146</v>
      </c>
      <c r="D22" s="11" t="s">
        <v>147</v>
      </c>
      <c r="E22" s="11" t="s">
        <v>148</v>
      </c>
      <c r="F22" s="11" t="s">
        <v>149</v>
      </c>
      <c r="G22" s="10" t="s">
        <v>67</v>
      </c>
      <c r="H22" s="10" t="s">
        <v>25</v>
      </c>
      <c r="I22" s="11"/>
      <c r="J22" s="10"/>
      <c r="K22" s="10"/>
    </row>
    <row r="23" spans="1:11" ht="45.75" customHeight="1" x14ac:dyDescent="0.3">
      <c r="A23" s="10">
        <v>22</v>
      </c>
      <c r="B23" s="11" t="s">
        <v>34</v>
      </c>
      <c r="C23" s="10" t="s">
        <v>150</v>
      </c>
      <c r="D23" s="11" t="s">
        <v>151</v>
      </c>
      <c r="E23" s="11" t="s">
        <v>152</v>
      </c>
      <c r="F23" s="11" t="s">
        <v>153</v>
      </c>
      <c r="G23" s="10" t="s">
        <v>67</v>
      </c>
      <c r="H23" s="10" t="s">
        <v>25</v>
      </c>
      <c r="I23" s="11"/>
      <c r="J23" s="10"/>
      <c r="K23" s="10"/>
    </row>
    <row r="24" spans="1:11" ht="45.75" customHeight="1" x14ac:dyDescent="0.3">
      <c r="A24" s="10">
        <v>23</v>
      </c>
      <c r="B24" s="11" t="s">
        <v>34</v>
      </c>
      <c r="C24" s="10" t="s">
        <v>154</v>
      </c>
      <c r="D24" s="11" t="s">
        <v>155</v>
      </c>
      <c r="E24" s="11" t="s">
        <v>156</v>
      </c>
      <c r="F24" s="11" t="s">
        <v>157</v>
      </c>
      <c r="G24" s="10" t="s">
        <v>76</v>
      </c>
      <c r="H24" s="10" t="s">
        <v>25</v>
      </c>
      <c r="I24" s="11"/>
      <c r="J24" s="10"/>
      <c r="K24" s="10"/>
    </row>
    <row r="25" spans="1:11" ht="45.75" customHeight="1" x14ac:dyDescent="0.3">
      <c r="A25" s="10">
        <v>24</v>
      </c>
      <c r="B25" s="11" t="s">
        <v>34</v>
      </c>
      <c r="C25" s="10" t="s">
        <v>158</v>
      </c>
      <c r="D25" s="11" t="s">
        <v>159</v>
      </c>
      <c r="E25" s="11" t="s">
        <v>160</v>
      </c>
      <c r="F25" s="11" t="s">
        <v>161</v>
      </c>
      <c r="G25" s="10" t="s">
        <v>76</v>
      </c>
      <c r="H25" s="10" t="s">
        <v>25</v>
      </c>
      <c r="I25" s="11"/>
      <c r="J25" s="10"/>
      <c r="K25" s="10"/>
    </row>
    <row r="26" spans="1:11" ht="45.75" customHeight="1" x14ac:dyDescent="0.3">
      <c r="A26" s="10">
        <v>25</v>
      </c>
      <c r="B26" s="11" t="s">
        <v>34</v>
      </c>
      <c r="C26" s="10" t="s">
        <v>162</v>
      </c>
      <c r="D26" s="11" t="s">
        <v>163</v>
      </c>
      <c r="E26" s="11" t="s">
        <v>164</v>
      </c>
      <c r="F26" s="11" t="s">
        <v>165</v>
      </c>
      <c r="G26" s="10" t="s">
        <v>67</v>
      </c>
      <c r="H26" s="10" t="s">
        <v>25</v>
      </c>
      <c r="I26" s="11"/>
      <c r="J26" s="10"/>
      <c r="K26" s="10"/>
    </row>
    <row r="27" spans="1:11" ht="45.75" customHeight="1" x14ac:dyDescent="0.3">
      <c r="A27" s="10">
        <v>26</v>
      </c>
      <c r="B27" s="11" t="s">
        <v>34</v>
      </c>
      <c r="C27" s="10" t="s">
        <v>166</v>
      </c>
      <c r="D27" s="11" t="s">
        <v>167</v>
      </c>
      <c r="E27" s="11" t="s">
        <v>168</v>
      </c>
      <c r="F27" s="11" t="s">
        <v>169</v>
      </c>
      <c r="G27" s="10" t="s">
        <v>67</v>
      </c>
      <c r="H27" s="10" t="s">
        <v>25</v>
      </c>
      <c r="I27" s="11"/>
      <c r="J27" s="10"/>
      <c r="K27" s="10"/>
    </row>
    <row r="28" spans="1:11" ht="45.75" customHeight="1" x14ac:dyDescent="0.3">
      <c r="A28" s="10">
        <v>27</v>
      </c>
      <c r="B28" s="11" t="s">
        <v>34</v>
      </c>
      <c r="C28" s="10" t="s">
        <v>170</v>
      </c>
      <c r="D28" s="11" t="s">
        <v>171</v>
      </c>
      <c r="E28" s="11" t="s">
        <v>172</v>
      </c>
      <c r="F28" s="11" t="s">
        <v>173</v>
      </c>
      <c r="G28" s="10" t="s">
        <v>76</v>
      </c>
      <c r="H28" s="10" t="s">
        <v>25</v>
      </c>
      <c r="I28" s="11"/>
      <c r="J28" s="10"/>
      <c r="K28" s="10"/>
    </row>
    <row r="29" spans="1:11" ht="45.75" customHeight="1" x14ac:dyDescent="0.3">
      <c r="A29" s="10">
        <v>28</v>
      </c>
      <c r="B29" s="11" t="s">
        <v>35</v>
      </c>
      <c r="C29" s="10" t="s">
        <v>174</v>
      </c>
      <c r="D29" s="11" t="s">
        <v>175</v>
      </c>
      <c r="E29" s="11" t="s">
        <v>176</v>
      </c>
      <c r="F29" s="11" t="s">
        <v>177</v>
      </c>
      <c r="G29" s="10" t="s">
        <v>67</v>
      </c>
      <c r="H29" s="10" t="s">
        <v>25</v>
      </c>
      <c r="I29" s="11"/>
      <c r="J29" s="10"/>
      <c r="K29" s="10"/>
    </row>
    <row r="30" spans="1:11" ht="45.75" customHeight="1" x14ac:dyDescent="0.3">
      <c r="A30" s="10">
        <v>29</v>
      </c>
      <c r="B30" s="11" t="s">
        <v>35</v>
      </c>
      <c r="C30" s="10" t="s">
        <v>178</v>
      </c>
      <c r="D30" s="11" t="s">
        <v>179</v>
      </c>
      <c r="E30" s="11" t="s">
        <v>180</v>
      </c>
      <c r="F30" s="11" t="s">
        <v>181</v>
      </c>
      <c r="G30" s="10" t="s">
        <v>67</v>
      </c>
      <c r="H30" s="10" t="s">
        <v>25</v>
      </c>
      <c r="I30" s="11"/>
      <c r="J30" s="10"/>
      <c r="K30" s="10"/>
    </row>
    <row r="31" spans="1:11" ht="45.75" customHeight="1" x14ac:dyDescent="0.3">
      <c r="A31" s="10">
        <v>30</v>
      </c>
      <c r="B31" s="11" t="s">
        <v>35</v>
      </c>
      <c r="C31" s="10" t="s">
        <v>182</v>
      </c>
      <c r="D31" s="11" t="s">
        <v>183</v>
      </c>
      <c r="E31" s="11" t="s">
        <v>184</v>
      </c>
      <c r="F31" s="11" t="s">
        <v>185</v>
      </c>
      <c r="G31" s="10" t="s">
        <v>76</v>
      </c>
      <c r="H31" s="10" t="s">
        <v>25</v>
      </c>
      <c r="I31" s="11"/>
      <c r="J31" s="10"/>
      <c r="K31" s="10"/>
    </row>
    <row r="32" spans="1:11" ht="45.75" customHeight="1" x14ac:dyDescent="0.3">
      <c r="A32" s="10">
        <v>31</v>
      </c>
      <c r="B32" s="11" t="s">
        <v>35</v>
      </c>
      <c r="C32" s="10" t="s">
        <v>186</v>
      </c>
      <c r="D32" s="11" t="s">
        <v>187</v>
      </c>
      <c r="E32" s="11" t="s">
        <v>188</v>
      </c>
      <c r="F32" s="11" t="s">
        <v>189</v>
      </c>
      <c r="G32" s="10" t="s">
        <v>141</v>
      </c>
      <c r="H32" s="10" t="s">
        <v>25</v>
      </c>
      <c r="I32" s="11"/>
      <c r="J32" s="10"/>
      <c r="K32" s="10"/>
    </row>
    <row r="33" spans="1:11" ht="45.75" customHeight="1" x14ac:dyDescent="0.3">
      <c r="A33" s="10">
        <v>32</v>
      </c>
      <c r="B33" s="11" t="s">
        <v>36</v>
      </c>
      <c r="C33" s="10" t="s">
        <v>190</v>
      </c>
      <c r="D33" s="11" t="s">
        <v>191</v>
      </c>
      <c r="E33" s="11" t="s">
        <v>192</v>
      </c>
      <c r="F33" s="11" t="s">
        <v>193</v>
      </c>
      <c r="G33" s="10" t="s">
        <v>76</v>
      </c>
      <c r="H33" s="10" t="s">
        <v>25</v>
      </c>
      <c r="I33" s="11"/>
      <c r="J33" s="10"/>
      <c r="K33" s="10"/>
    </row>
    <row r="34" spans="1:11" ht="45.75" customHeight="1" x14ac:dyDescent="0.3">
      <c r="A34" s="10">
        <v>33</v>
      </c>
      <c r="B34" s="11" t="s">
        <v>36</v>
      </c>
      <c r="C34" s="10" t="s">
        <v>194</v>
      </c>
      <c r="D34" s="11" t="s">
        <v>195</v>
      </c>
      <c r="E34" s="11" t="s">
        <v>196</v>
      </c>
      <c r="F34" s="11" t="s">
        <v>197</v>
      </c>
      <c r="G34" s="10" t="s">
        <v>76</v>
      </c>
      <c r="H34" s="10" t="s">
        <v>25</v>
      </c>
      <c r="I34" s="11"/>
      <c r="J34" s="10"/>
      <c r="K34" s="10"/>
    </row>
    <row r="35" spans="1:11" ht="45.75" customHeight="1" x14ac:dyDescent="0.3">
      <c r="A35" s="10">
        <v>34</v>
      </c>
      <c r="B35" s="11" t="s">
        <v>36</v>
      </c>
      <c r="C35" s="10" t="s">
        <v>198</v>
      </c>
      <c r="D35" s="11" t="s">
        <v>199</v>
      </c>
      <c r="E35" s="11" t="s">
        <v>200</v>
      </c>
      <c r="F35" s="11" t="s">
        <v>201</v>
      </c>
      <c r="G35" s="10" t="s">
        <v>76</v>
      </c>
      <c r="H35" s="10" t="s">
        <v>25</v>
      </c>
      <c r="I35" s="11"/>
      <c r="J35" s="10"/>
      <c r="K35" s="10"/>
    </row>
    <row r="36" spans="1:11" ht="45.75" customHeight="1" x14ac:dyDescent="0.3">
      <c r="A36" s="10">
        <v>35</v>
      </c>
      <c r="B36" s="11" t="s">
        <v>36</v>
      </c>
      <c r="C36" s="10" t="s">
        <v>202</v>
      </c>
      <c r="D36" s="11" t="s">
        <v>203</v>
      </c>
      <c r="E36" s="11" t="s">
        <v>204</v>
      </c>
      <c r="F36" s="11" t="s">
        <v>205</v>
      </c>
      <c r="G36" s="10" t="s">
        <v>76</v>
      </c>
      <c r="H36" s="10" t="s">
        <v>25</v>
      </c>
      <c r="I36" s="11"/>
      <c r="J36" s="10"/>
      <c r="K36" s="10"/>
    </row>
    <row r="37" spans="1:11" ht="45.75" customHeight="1" x14ac:dyDescent="0.3">
      <c r="A37" s="10">
        <v>36</v>
      </c>
      <c r="B37" s="11" t="s">
        <v>36</v>
      </c>
      <c r="C37" s="10" t="s">
        <v>206</v>
      </c>
      <c r="D37" s="11" t="s">
        <v>207</v>
      </c>
      <c r="E37" s="11" t="s">
        <v>208</v>
      </c>
      <c r="F37" s="11" t="s">
        <v>209</v>
      </c>
      <c r="G37" s="10" t="s">
        <v>67</v>
      </c>
      <c r="H37" s="10" t="s">
        <v>25</v>
      </c>
      <c r="I37" s="11"/>
      <c r="J37" s="10"/>
      <c r="K37" s="10"/>
    </row>
    <row r="38" spans="1:11" ht="45.75" customHeight="1" x14ac:dyDescent="0.3">
      <c r="A38" s="10">
        <v>37</v>
      </c>
      <c r="B38" s="11" t="s">
        <v>37</v>
      </c>
      <c r="C38" s="10" t="s">
        <v>210</v>
      </c>
      <c r="D38" s="11" t="s">
        <v>211</v>
      </c>
      <c r="E38" s="11" t="s">
        <v>212</v>
      </c>
      <c r="F38" s="11" t="s">
        <v>213</v>
      </c>
      <c r="G38" s="10" t="s">
        <v>67</v>
      </c>
      <c r="H38" s="10" t="s">
        <v>25</v>
      </c>
      <c r="I38" s="11"/>
      <c r="J38" s="10"/>
      <c r="K38" s="10"/>
    </row>
    <row r="39" spans="1:11" ht="45.75" customHeight="1" x14ac:dyDescent="0.3">
      <c r="A39" s="10">
        <v>38</v>
      </c>
      <c r="B39" s="11" t="s">
        <v>37</v>
      </c>
      <c r="C39" s="10" t="s">
        <v>214</v>
      </c>
      <c r="D39" s="11" t="s">
        <v>215</v>
      </c>
      <c r="E39" s="11" t="s">
        <v>216</v>
      </c>
      <c r="F39" s="11" t="s">
        <v>217</v>
      </c>
      <c r="G39" s="10" t="s">
        <v>67</v>
      </c>
      <c r="H39" s="10" t="s">
        <v>25</v>
      </c>
      <c r="I39" s="11"/>
      <c r="J39" s="10"/>
      <c r="K39" s="10"/>
    </row>
    <row r="40" spans="1:11" ht="45.75" customHeight="1" x14ac:dyDescent="0.3">
      <c r="A40" s="10">
        <v>39</v>
      </c>
      <c r="B40" s="11" t="s">
        <v>37</v>
      </c>
      <c r="C40" s="10" t="s">
        <v>218</v>
      </c>
      <c r="D40" s="11" t="s">
        <v>219</v>
      </c>
      <c r="E40" s="11" t="s">
        <v>220</v>
      </c>
      <c r="F40" s="11" t="s">
        <v>221</v>
      </c>
      <c r="G40" s="10" t="s">
        <v>67</v>
      </c>
      <c r="H40" s="10" t="s">
        <v>25</v>
      </c>
      <c r="I40" s="11"/>
      <c r="J40" s="10"/>
      <c r="K40" s="10"/>
    </row>
    <row r="41" spans="1:11" ht="45.75" customHeight="1" x14ac:dyDescent="0.3">
      <c r="A41" s="10">
        <v>40</v>
      </c>
      <c r="B41" s="11" t="s">
        <v>37</v>
      </c>
      <c r="C41" s="10" t="s">
        <v>222</v>
      </c>
      <c r="D41" s="11" t="s">
        <v>223</v>
      </c>
      <c r="E41" s="11" t="s">
        <v>224</v>
      </c>
      <c r="F41" s="11" t="s">
        <v>225</v>
      </c>
      <c r="G41" s="10" t="s">
        <v>76</v>
      </c>
      <c r="H41" s="10" t="s">
        <v>25</v>
      </c>
      <c r="I41" s="11"/>
      <c r="J41" s="10"/>
      <c r="K41" s="10"/>
    </row>
    <row r="42" spans="1:11" ht="45.75" customHeight="1" x14ac:dyDescent="0.3">
      <c r="A42" s="10">
        <v>41</v>
      </c>
      <c r="B42" s="11" t="s">
        <v>37</v>
      </c>
      <c r="C42" s="10" t="s">
        <v>226</v>
      </c>
      <c r="D42" s="11" t="s">
        <v>227</v>
      </c>
      <c r="E42" s="11" t="s">
        <v>228</v>
      </c>
      <c r="F42" s="11" t="s">
        <v>229</v>
      </c>
      <c r="G42" s="10" t="s">
        <v>76</v>
      </c>
      <c r="H42" s="10" t="s">
        <v>25</v>
      </c>
      <c r="I42" s="11"/>
      <c r="J42" s="10"/>
      <c r="K42" s="10"/>
    </row>
    <row r="43" spans="1:11" ht="45.75" customHeight="1" x14ac:dyDescent="0.3">
      <c r="A43" s="10">
        <v>42</v>
      </c>
      <c r="B43" s="11" t="s">
        <v>37</v>
      </c>
      <c r="C43" s="10" t="s">
        <v>230</v>
      </c>
      <c r="D43" s="11" t="s">
        <v>231</v>
      </c>
      <c r="E43" s="11" t="s">
        <v>232</v>
      </c>
      <c r="F43" s="11" t="s">
        <v>233</v>
      </c>
      <c r="G43" s="10" t="s">
        <v>141</v>
      </c>
      <c r="H43" s="10" t="s">
        <v>25</v>
      </c>
      <c r="I43" s="11"/>
      <c r="J43" s="10"/>
      <c r="K43" s="10"/>
    </row>
    <row r="44" spans="1:11" ht="45.75" customHeight="1" x14ac:dyDescent="0.3">
      <c r="A44" s="10">
        <v>43</v>
      </c>
      <c r="B44" s="11" t="s">
        <v>38</v>
      </c>
      <c r="C44" s="10" t="s">
        <v>234</v>
      </c>
      <c r="D44" s="11" t="s">
        <v>235</v>
      </c>
      <c r="E44" s="11" t="s">
        <v>236</v>
      </c>
      <c r="F44" s="11" t="s">
        <v>237</v>
      </c>
      <c r="G44" s="10" t="s">
        <v>76</v>
      </c>
      <c r="H44" s="10" t="s">
        <v>25</v>
      </c>
      <c r="I44" s="11"/>
      <c r="J44" s="10"/>
      <c r="K44" s="10"/>
    </row>
    <row r="45" spans="1:11" ht="45.75" customHeight="1" x14ac:dyDescent="0.3">
      <c r="A45" s="10">
        <v>44</v>
      </c>
      <c r="B45" s="11" t="s">
        <v>38</v>
      </c>
      <c r="C45" s="10" t="s">
        <v>238</v>
      </c>
      <c r="D45" s="11" t="s">
        <v>239</v>
      </c>
      <c r="E45" s="11" t="s">
        <v>240</v>
      </c>
      <c r="F45" s="11" t="s">
        <v>241</v>
      </c>
      <c r="G45" s="10" t="s">
        <v>76</v>
      </c>
      <c r="H45" s="10" t="s">
        <v>25</v>
      </c>
      <c r="I45" s="11"/>
      <c r="J45" s="10"/>
      <c r="K45" s="10"/>
    </row>
    <row r="46" spans="1:11" ht="45.75" customHeight="1" x14ac:dyDescent="0.3">
      <c r="A46" s="10">
        <v>45</v>
      </c>
      <c r="B46" s="11" t="s">
        <v>38</v>
      </c>
      <c r="C46" s="10" t="s">
        <v>242</v>
      </c>
      <c r="D46" s="11" t="s">
        <v>243</v>
      </c>
      <c r="E46" s="11" t="s">
        <v>244</v>
      </c>
      <c r="F46" s="11" t="s">
        <v>245</v>
      </c>
      <c r="G46" s="10" t="s">
        <v>141</v>
      </c>
      <c r="H46" s="10" t="s">
        <v>25</v>
      </c>
      <c r="I46" s="11"/>
      <c r="J46" s="10"/>
      <c r="K46" s="10"/>
    </row>
    <row r="47" spans="1:11" ht="45.75" customHeight="1" x14ac:dyDescent="0.3">
      <c r="A47" s="10">
        <v>46</v>
      </c>
      <c r="B47" s="11" t="s">
        <v>39</v>
      </c>
      <c r="C47" s="10" t="s">
        <v>246</v>
      </c>
      <c r="D47" s="11" t="s">
        <v>247</v>
      </c>
      <c r="E47" s="11" t="s">
        <v>248</v>
      </c>
      <c r="F47" s="11" t="s">
        <v>249</v>
      </c>
      <c r="G47" s="10" t="s">
        <v>67</v>
      </c>
      <c r="H47" s="10" t="s">
        <v>25</v>
      </c>
      <c r="I47" s="11"/>
      <c r="J47" s="10"/>
      <c r="K47" s="10"/>
    </row>
    <row r="48" spans="1:11" ht="45.75" customHeight="1" x14ac:dyDescent="0.3">
      <c r="A48" s="10">
        <v>47</v>
      </c>
      <c r="B48" s="11" t="s">
        <v>39</v>
      </c>
      <c r="C48" s="10" t="s">
        <v>250</v>
      </c>
      <c r="D48" s="11" t="s">
        <v>251</v>
      </c>
      <c r="E48" s="11" t="s">
        <v>252</v>
      </c>
      <c r="F48" s="11" t="s">
        <v>253</v>
      </c>
      <c r="G48" s="10" t="s">
        <v>67</v>
      </c>
      <c r="H48" s="10" t="s">
        <v>25</v>
      </c>
      <c r="I48" s="11"/>
      <c r="J48" s="10"/>
      <c r="K48" s="10"/>
    </row>
    <row r="49" spans="1:11" ht="45.75" customHeight="1" x14ac:dyDescent="0.3">
      <c r="A49" s="10">
        <v>48</v>
      </c>
      <c r="B49" s="11" t="s">
        <v>39</v>
      </c>
      <c r="C49" s="10" t="s">
        <v>254</v>
      </c>
      <c r="D49" s="11" t="s">
        <v>255</v>
      </c>
      <c r="E49" s="11" t="s">
        <v>256</v>
      </c>
      <c r="F49" s="11" t="s">
        <v>257</v>
      </c>
      <c r="G49" s="10" t="s">
        <v>76</v>
      </c>
      <c r="H49" s="10" t="s">
        <v>25</v>
      </c>
      <c r="I49" s="11"/>
      <c r="J49" s="10"/>
      <c r="K49" s="10"/>
    </row>
    <row r="50" spans="1:11" ht="45.75" customHeight="1" x14ac:dyDescent="0.3">
      <c r="A50" s="10">
        <v>49</v>
      </c>
      <c r="B50" s="11" t="s">
        <v>39</v>
      </c>
      <c r="C50" s="10" t="s">
        <v>258</v>
      </c>
      <c r="D50" s="11" t="s">
        <v>259</v>
      </c>
      <c r="E50" s="11" t="s">
        <v>260</v>
      </c>
      <c r="F50" s="11" t="s">
        <v>261</v>
      </c>
      <c r="G50" s="10" t="s">
        <v>76</v>
      </c>
      <c r="H50" s="10" t="s">
        <v>25</v>
      </c>
      <c r="I50" s="11"/>
      <c r="J50" s="10"/>
      <c r="K50" s="10"/>
    </row>
    <row r="51" spans="1:11" ht="45.75" customHeight="1" x14ac:dyDescent="0.3">
      <c r="A51" s="10">
        <v>50</v>
      </c>
      <c r="B51" s="11" t="s">
        <v>40</v>
      </c>
      <c r="C51" s="10" t="s">
        <v>262</v>
      </c>
      <c r="D51" s="11" t="s">
        <v>263</v>
      </c>
      <c r="E51" s="11" t="s">
        <v>264</v>
      </c>
      <c r="F51" s="11" t="s">
        <v>265</v>
      </c>
      <c r="G51" s="10" t="s">
        <v>76</v>
      </c>
      <c r="H51" s="10" t="s">
        <v>25</v>
      </c>
      <c r="I51" s="11"/>
      <c r="J51" s="10"/>
      <c r="K51" s="10"/>
    </row>
    <row r="52" spans="1:11" ht="45.75" customHeight="1" x14ac:dyDescent="0.3">
      <c r="A52" s="10">
        <v>51</v>
      </c>
      <c r="B52" s="11" t="s">
        <v>40</v>
      </c>
      <c r="C52" s="10" t="s">
        <v>266</v>
      </c>
      <c r="D52" s="11" t="s">
        <v>267</v>
      </c>
      <c r="E52" s="11" t="s">
        <v>268</v>
      </c>
      <c r="F52" s="11" t="s">
        <v>269</v>
      </c>
      <c r="G52" s="10" t="s">
        <v>76</v>
      </c>
      <c r="H52" s="10" t="s">
        <v>25</v>
      </c>
      <c r="I52" s="11"/>
      <c r="J52" s="10"/>
      <c r="K52" s="10"/>
    </row>
    <row r="53" spans="1:11" ht="45.75" customHeight="1" x14ac:dyDescent="0.3">
      <c r="A53" s="10">
        <v>52</v>
      </c>
      <c r="B53" s="11" t="s">
        <v>40</v>
      </c>
      <c r="C53" s="10" t="s">
        <v>270</v>
      </c>
      <c r="D53" s="11" t="s">
        <v>271</v>
      </c>
      <c r="E53" s="11" t="s">
        <v>272</v>
      </c>
      <c r="F53" s="11" t="s">
        <v>273</v>
      </c>
      <c r="G53" s="10" t="s">
        <v>76</v>
      </c>
      <c r="H53" s="10" t="s">
        <v>25</v>
      </c>
      <c r="I53" s="11"/>
      <c r="J53" s="10"/>
      <c r="K53" s="10"/>
    </row>
    <row r="54" spans="1:11" ht="45.75" customHeight="1" x14ac:dyDescent="0.3">
      <c r="A54" s="10">
        <v>53</v>
      </c>
      <c r="B54" s="11" t="s">
        <v>40</v>
      </c>
      <c r="C54" s="10" t="s">
        <v>274</v>
      </c>
      <c r="D54" s="11" t="s">
        <v>275</v>
      </c>
      <c r="E54" s="11" t="s">
        <v>276</v>
      </c>
      <c r="F54" s="11" t="s">
        <v>277</v>
      </c>
      <c r="G54" s="10" t="s">
        <v>67</v>
      </c>
      <c r="H54" s="10" t="s">
        <v>25</v>
      </c>
      <c r="I54" s="11"/>
      <c r="J54" s="10"/>
      <c r="K54" s="10"/>
    </row>
    <row r="55" spans="1:11" ht="45.75" customHeight="1" x14ac:dyDescent="0.3">
      <c r="A55" s="10">
        <v>54</v>
      </c>
      <c r="B55" s="11" t="s">
        <v>40</v>
      </c>
      <c r="C55" s="10" t="s">
        <v>278</v>
      </c>
      <c r="D55" s="11" t="s">
        <v>279</v>
      </c>
      <c r="E55" s="11" t="s">
        <v>280</v>
      </c>
      <c r="F55" s="11" t="s">
        <v>281</v>
      </c>
      <c r="G55" s="10" t="s">
        <v>141</v>
      </c>
      <c r="H55" s="10" t="s">
        <v>25</v>
      </c>
      <c r="I55" s="11"/>
      <c r="J55" s="10"/>
      <c r="K55" s="10"/>
    </row>
    <row r="56" spans="1:11" ht="45.75" customHeight="1" x14ac:dyDescent="0.3">
      <c r="A56" s="10">
        <v>55</v>
      </c>
      <c r="B56" s="11" t="s">
        <v>40</v>
      </c>
      <c r="C56" s="10" t="s">
        <v>282</v>
      </c>
      <c r="D56" s="11" t="s">
        <v>283</v>
      </c>
      <c r="E56" s="11" t="s">
        <v>284</v>
      </c>
      <c r="F56" s="11" t="s">
        <v>285</v>
      </c>
      <c r="G56" s="10" t="s">
        <v>76</v>
      </c>
      <c r="H56" s="10" t="s">
        <v>25</v>
      </c>
      <c r="I56" s="11"/>
      <c r="J56" s="10"/>
      <c r="K56" s="10"/>
    </row>
    <row r="57" spans="1:11" ht="45.75" customHeight="1" x14ac:dyDescent="0.3">
      <c r="A57" s="10">
        <v>56</v>
      </c>
      <c r="B57" s="11" t="s">
        <v>41</v>
      </c>
      <c r="C57" s="10" t="s">
        <v>286</v>
      </c>
      <c r="D57" s="11" t="s">
        <v>287</v>
      </c>
      <c r="E57" s="11" t="s">
        <v>288</v>
      </c>
      <c r="F57" s="11" t="s">
        <v>289</v>
      </c>
      <c r="G57" s="10" t="s">
        <v>76</v>
      </c>
      <c r="H57" s="10" t="s">
        <v>25</v>
      </c>
      <c r="I57" s="11"/>
      <c r="J57" s="10"/>
      <c r="K57" s="10"/>
    </row>
    <row r="58" spans="1:11" ht="45.75" customHeight="1" x14ac:dyDescent="0.3">
      <c r="A58" s="10">
        <v>57</v>
      </c>
      <c r="B58" s="11" t="s">
        <v>41</v>
      </c>
      <c r="C58" s="10" t="s">
        <v>290</v>
      </c>
      <c r="D58" s="11" t="s">
        <v>291</v>
      </c>
      <c r="E58" s="11" t="s">
        <v>292</v>
      </c>
      <c r="F58" s="11" t="s">
        <v>293</v>
      </c>
      <c r="G58" s="10" t="s">
        <v>141</v>
      </c>
      <c r="H58" s="10" t="s">
        <v>25</v>
      </c>
      <c r="I58" s="11"/>
      <c r="J58" s="10"/>
      <c r="K58" s="10"/>
    </row>
    <row r="59" spans="1:11" ht="45.75" customHeight="1" x14ac:dyDescent="0.3">
      <c r="A59" s="10">
        <v>58</v>
      </c>
      <c r="B59" s="11" t="s">
        <v>41</v>
      </c>
      <c r="C59" s="10" t="s">
        <v>294</v>
      </c>
      <c r="D59" s="11" t="s">
        <v>295</v>
      </c>
      <c r="E59" s="11" t="s">
        <v>296</v>
      </c>
      <c r="F59" s="11" t="s">
        <v>297</v>
      </c>
      <c r="G59" s="10" t="s">
        <v>76</v>
      </c>
      <c r="H59" s="10" t="s">
        <v>25</v>
      </c>
      <c r="I59" s="11"/>
      <c r="J59" s="10"/>
      <c r="K59" s="10"/>
    </row>
    <row r="60" spans="1:11" ht="45.75" customHeight="1" x14ac:dyDescent="0.3">
      <c r="A60" s="10">
        <v>59</v>
      </c>
      <c r="B60" s="11" t="s">
        <v>42</v>
      </c>
      <c r="C60" s="10" t="s">
        <v>298</v>
      </c>
      <c r="D60" s="11" t="s">
        <v>299</v>
      </c>
      <c r="E60" s="11" t="s">
        <v>300</v>
      </c>
      <c r="F60" s="11" t="s">
        <v>301</v>
      </c>
      <c r="G60" s="10" t="s">
        <v>141</v>
      </c>
      <c r="H60" s="10" t="s">
        <v>25</v>
      </c>
      <c r="I60" s="11"/>
      <c r="J60" s="10"/>
      <c r="K60" s="10"/>
    </row>
    <row r="61" spans="1:11" ht="45.75" customHeight="1" x14ac:dyDescent="0.3">
      <c r="A61" s="10">
        <v>60</v>
      </c>
      <c r="B61" s="11" t="s">
        <v>42</v>
      </c>
      <c r="C61" s="10" t="s">
        <v>302</v>
      </c>
      <c r="D61" s="11" t="s">
        <v>303</v>
      </c>
      <c r="E61" s="11" t="s">
        <v>304</v>
      </c>
      <c r="F61" s="11" t="s">
        <v>305</v>
      </c>
      <c r="G61" s="10" t="s">
        <v>76</v>
      </c>
      <c r="H61" s="10" t="s">
        <v>25</v>
      </c>
      <c r="I61" s="11"/>
      <c r="J61" s="10"/>
      <c r="K61" s="10"/>
    </row>
    <row r="62" spans="1:11" ht="45.75" customHeight="1" x14ac:dyDescent="0.3">
      <c r="A62" s="10">
        <v>61</v>
      </c>
      <c r="B62" s="11" t="s">
        <v>42</v>
      </c>
      <c r="C62" s="10" t="s">
        <v>306</v>
      </c>
      <c r="D62" s="11" t="s">
        <v>307</v>
      </c>
      <c r="E62" s="11" t="s">
        <v>308</v>
      </c>
      <c r="F62" s="11" t="s">
        <v>309</v>
      </c>
      <c r="G62" s="10" t="s">
        <v>141</v>
      </c>
      <c r="H62" s="10" t="s">
        <v>25</v>
      </c>
      <c r="I62" s="11"/>
      <c r="J62" s="10"/>
      <c r="K62" s="10"/>
    </row>
    <row r="63" spans="1:11" ht="45.75" customHeight="1" x14ac:dyDescent="0.3">
      <c r="A63" s="10">
        <v>62</v>
      </c>
      <c r="B63" s="11" t="s">
        <v>42</v>
      </c>
      <c r="C63" s="10" t="s">
        <v>310</v>
      </c>
      <c r="D63" s="11" t="s">
        <v>311</v>
      </c>
      <c r="E63" s="11" t="s">
        <v>312</v>
      </c>
      <c r="F63" s="11" t="s">
        <v>313</v>
      </c>
      <c r="G63" s="10" t="s">
        <v>67</v>
      </c>
      <c r="H63" s="10" t="s">
        <v>25</v>
      </c>
      <c r="I63" s="11"/>
      <c r="J63" s="10"/>
      <c r="K63" s="10"/>
    </row>
    <row r="64" spans="1:11" ht="45.75" customHeight="1" x14ac:dyDescent="0.3">
      <c r="A64" s="10">
        <v>63</v>
      </c>
      <c r="B64" s="11" t="s">
        <v>42</v>
      </c>
      <c r="C64" s="10" t="s">
        <v>314</v>
      </c>
      <c r="D64" s="11" t="s">
        <v>315</v>
      </c>
      <c r="E64" s="11" t="s">
        <v>316</v>
      </c>
      <c r="F64" s="11" t="s">
        <v>317</v>
      </c>
      <c r="G64" s="10" t="s">
        <v>141</v>
      </c>
      <c r="H64" s="10" t="s">
        <v>25</v>
      </c>
      <c r="I64" s="11"/>
      <c r="J64" s="10"/>
      <c r="K64" s="10"/>
    </row>
    <row r="65" spans="1:11" ht="45.75" customHeight="1" x14ac:dyDescent="0.3">
      <c r="A65" s="10">
        <v>64</v>
      </c>
      <c r="B65" s="11" t="s">
        <v>42</v>
      </c>
      <c r="C65" s="10" t="s">
        <v>318</v>
      </c>
      <c r="D65" s="11" t="s">
        <v>319</v>
      </c>
      <c r="E65" s="11" t="s">
        <v>320</v>
      </c>
      <c r="F65" s="11" t="s">
        <v>321</v>
      </c>
      <c r="G65" s="10" t="s">
        <v>141</v>
      </c>
      <c r="H65" s="10" t="s">
        <v>25</v>
      </c>
      <c r="I65" s="11"/>
      <c r="J65" s="10"/>
      <c r="K65" s="10"/>
    </row>
    <row r="66" spans="1:11" ht="45.75" customHeight="1" x14ac:dyDescent="0.3">
      <c r="A66" s="10">
        <v>65</v>
      </c>
      <c r="B66" s="11" t="s">
        <v>43</v>
      </c>
      <c r="C66" s="10" t="s">
        <v>322</v>
      </c>
      <c r="D66" s="11" t="s">
        <v>323</v>
      </c>
      <c r="E66" s="11" t="s">
        <v>324</v>
      </c>
      <c r="F66" s="11" t="s">
        <v>325</v>
      </c>
      <c r="G66" s="10" t="s">
        <v>76</v>
      </c>
      <c r="H66" s="10" t="s">
        <v>25</v>
      </c>
      <c r="I66" s="11"/>
      <c r="J66" s="10"/>
      <c r="K66" s="10"/>
    </row>
    <row r="67" spans="1:11" ht="45.75" customHeight="1" x14ac:dyDescent="0.3">
      <c r="A67" s="10">
        <v>66</v>
      </c>
      <c r="B67" s="11" t="s">
        <v>43</v>
      </c>
      <c r="C67" s="10" t="s">
        <v>326</v>
      </c>
      <c r="D67" s="11" t="s">
        <v>327</v>
      </c>
      <c r="E67" s="11" t="s">
        <v>328</v>
      </c>
      <c r="F67" s="11" t="s">
        <v>329</v>
      </c>
      <c r="G67" s="10" t="s">
        <v>67</v>
      </c>
      <c r="H67" s="10" t="s">
        <v>25</v>
      </c>
      <c r="I67" s="11"/>
      <c r="J67" s="10"/>
      <c r="K67" s="10"/>
    </row>
    <row r="68" spans="1:11" ht="45.75" customHeight="1" x14ac:dyDescent="0.3">
      <c r="A68" s="10">
        <v>67</v>
      </c>
      <c r="B68" s="11" t="s">
        <v>43</v>
      </c>
      <c r="C68" s="10" t="s">
        <v>330</v>
      </c>
      <c r="D68" s="11" t="s">
        <v>223</v>
      </c>
      <c r="E68" s="11" t="s">
        <v>331</v>
      </c>
      <c r="F68" s="11" t="s">
        <v>332</v>
      </c>
      <c r="G68" s="10" t="s">
        <v>76</v>
      </c>
      <c r="H68" s="10" t="s">
        <v>25</v>
      </c>
      <c r="I68" s="11"/>
      <c r="J68" s="10"/>
      <c r="K68" s="10"/>
    </row>
    <row r="69" spans="1:11" ht="45.75" customHeight="1" x14ac:dyDescent="0.3">
      <c r="A69" s="10">
        <v>68</v>
      </c>
      <c r="B69" s="11" t="s">
        <v>43</v>
      </c>
      <c r="C69" s="10" t="s">
        <v>333</v>
      </c>
      <c r="D69" s="11" t="s">
        <v>334</v>
      </c>
      <c r="E69" s="11" t="s">
        <v>335</v>
      </c>
      <c r="F69" s="11" t="s">
        <v>336</v>
      </c>
      <c r="G69" s="10" t="s">
        <v>76</v>
      </c>
      <c r="H69" s="10" t="s">
        <v>25</v>
      </c>
      <c r="I69" s="11"/>
      <c r="J69" s="10"/>
      <c r="K69" s="10"/>
    </row>
    <row r="70" spans="1:11" ht="45.75" customHeight="1" x14ac:dyDescent="0.3">
      <c r="A70" s="10">
        <v>69</v>
      </c>
      <c r="B70" s="11" t="s">
        <v>44</v>
      </c>
      <c r="C70" s="10" t="s">
        <v>337</v>
      </c>
      <c r="D70" s="11" t="s">
        <v>338</v>
      </c>
      <c r="E70" s="11" t="s">
        <v>339</v>
      </c>
      <c r="F70" s="11" t="s">
        <v>340</v>
      </c>
      <c r="G70" s="10" t="s">
        <v>67</v>
      </c>
      <c r="H70" s="10" t="s">
        <v>25</v>
      </c>
      <c r="I70" s="11"/>
      <c r="J70" s="10"/>
      <c r="K70" s="10"/>
    </row>
    <row r="71" spans="1:11" ht="45.75" customHeight="1" x14ac:dyDescent="0.3">
      <c r="A71" s="10">
        <v>70</v>
      </c>
      <c r="B71" s="11" t="s">
        <v>44</v>
      </c>
      <c r="C71" s="10" t="s">
        <v>341</v>
      </c>
      <c r="D71" s="11" t="s">
        <v>342</v>
      </c>
      <c r="E71" s="11" t="s">
        <v>343</v>
      </c>
      <c r="F71" s="11" t="s">
        <v>344</v>
      </c>
      <c r="G71" s="10" t="s">
        <v>76</v>
      </c>
      <c r="H71" s="10" t="s">
        <v>25</v>
      </c>
      <c r="I71" s="11"/>
      <c r="J71" s="10"/>
      <c r="K71" s="10"/>
    </row>
    <row r="72" spans="1:11" ht="45.75" customHeight="1" x14ac:dyDescent="0.3">
      <c r="A72" s="10">
        <v>71</v>
      </c>
      <c r="B72" s="11" t="s">
        <v>44</v>
      </c>
      <c r="C72" s="10" t="s">
        <v>345</v>
      </c>
      <c r="D72" s="11" t="s">
        <v>346</v>
      </c>
      <c r="E72" s="11" t="s">
        <v>347</v>
      </c>
      <c r="F72" s="11" t="s">
        <v>348</v>
      </c>
      <c r="G72" s="10" t="s">
        <v>67</v>
      </c>
      <c r="H72" s="10" t="s">
        <v>25</v>
      </c>
      <c r="I72" s="11"/>
      <c r="J72" s="10"/>
      <c r="K72" s="10"/>
    </row>
    <row r="73" spans="1:11" ht="45.75" customHeight="1" x14ac:dyDescent="0.3">
      <c r="A73" s="10">
        <v>72</v>
      </c>
      <c r="B73" s="11" t="s">
        <v>44</v>
      </c>
      <c r="C73" s="10" t="s">
        <v>349</v>
      </c>
      <c r="D73" s="11" t="s">
        <v>350</v>
      </c>
      <c r="E73" s="11" t="s">
        <v>351</v>
      </c>
      <c r="F73" s="11" t="s">
        <v>352</v>
      </c>
      <c r="G73" s="10" t="s">
        <v>67</v>
      </c>
      <c r="H73" s="10" t="s">
        <v>25</v>
      </c>
      <c r="I73" s="11"/>
      <c r="J73" s="10"/>
      <c r="K73" s="10"/>
    </row>
    <row r="74" spans="1:11" ht="45.75" customHeight="1" x14ac:dyDescent="0.3">
      <c r="A74" s="10">
        <v>73</v>
      </c>
      <c r="B74" s="11" t="s">
        <v>44</v>
      </c>
      <c r="C74" s="10" t="s">
        <v>353</v>
      </c>
      <c r="D74" s="11" t="s">
        <v>354</v>
      </c>
      <c r="E74" s="11" t="s">
        <v>355</v>
      </c>
      <c r="F74" s="11" t="s">
        <v>356</v>
      </c>
      <c r="G74" s="10" t="s">
        <v>76</v>
      </c>
      <c r="H74" s="10" t="s">
        <v>25</v>
      </c>
      <c r="I74" s="11"/>
      <c r="J74" s="10"/>
      <c r="K74" s="10"/>
    </row>
    <row r="75" spans="1:11" ht="45.75" customHeight="1" x14ac:dyDescent="0.3">
      <c r="A75" s="10">
        <v>74</v>
      </c>
      <c r="B75" s="11" t="s">
        <v>44</v>
      </c>
      <c r="C75" s="10" t="s">
        <v>357</v>
      </c>
      <c r="D75" s="11" t="s">
        <v>358</v>
      </c>
      <c r="E75" s="11" t="s">
        <v>359</v>
      </c>
      <c r="F75" s="11" t="s">
        <v>360</v>
      </c>
      <c r="G75" s="10" t="s">
        <v>67</v>
      </c>
      <c r="H75" s="10" t="s">
        <v>25</v>
      </c>
      <c r="I75" s="11"/>
      <c r="J75" s="10"/>
      <c r="K75" s="10"/>
    </row>
    <row r="76" spans="1:11" ht="45.75" customHeight="1" x14ac:dyDescent="0.3">
      <c r="A76" s="10">
        <v>75</v>
      </c>
      <c r="B76" s="11" t="s">
        <v>45</v>
      </c>
      <c r="C76" s="10" t="s">
        <v>361</v>
      </c>
      <c r="D76" s="11" t="s">
        <v>362</v>
      </c>
      <c r="E76" s="11" t="s">
        <v>363</v>
      </c>
      <c r="F76" s="11" t="s">
        <v>364</v>
      </c>
      <c r="G76" s="10" t="s">
        <v>67</v>
      </c>
      <c r="H76" s="10" t="s">
        <v>25</v>
      </c>
      <c r="I76" s="11"/>
      <c r="J76" s="10"/>
      <c r="K76" s="10"/>
    </row>
    <row r="77" spans="1:11" ht="45.75" customHeight="1" x14ac:dyDescent="0.3">
      <c r="A77" s="10">
        <v>76</v>
      </c>
      <c r="B77" s="11" t="s">
        <v>45</v>
      </c>
      <c r="C77" s="10" t="s">
        <v>365</v>
      </c>
      <c r="D77" s="11" t="s">
        <v>366</v>
      </c>
      <c r="E77" s="11" t="s">
        <v>367</v>
      </c>
      <c r="F77" s="11" t="s">
        <v>368</v>
      </c>
      <c r="G77" s="10" t="s">
        <v>76</v>
      </c>
      <c r="H77" s="10" t="s">
        <v>25</v>
      </c>
      <c r="I77" s="11"/>
      <c r="J77" s="10"/>
      <c r="K77" s="10"/>
    </row>
    <row r="78" spans="1:11" ht="45.75" customHeight="1" x14ac:dyDescent="0.3">
      <c r="A78" s="10">
        <v>77</v>
      </c>
      <c r="B78" s="11" t="s">
        <v>45</v>
      </c>
      <c r="C78" s="10" t="s">
        <v>369</v>
      </c>
      <c r="D78" s="11" t="s">
        <v>370</v>
      </c>
      <c r="E78" s="11" t="s">
        <v>371</v>
      </c>
      <c r="F78" s="11" t="s">
        <v>372</v>
      </c>
      <c r="G78" s="10" t="s">
        <v>76</v>
      </c>
      <c r="H78" s="10" t="s">
        <v>25</v>
      </c>
      <c r="I78" s="11"/>
      <c r="J78" s="10"/>
      <c r="K78" s="10"/>
    </row>
    <row r="79" spans="1:11" ht="45.75" customHeight="1" x14ac:dyDescent="0.3">
      <c r="A79" s="10">
        <v>78</v>
      </c>
      <c r="B79" s="11" t="s">
        <v>45</v>
      </c>
      <c r="C79" s="10" t="s">
        <v>373</v>
      </c>
      <c r="D79" s="11" t="s">
        <v>374</v>
      </c>
      <c r="E79" s="11" t="s">
        <v>375</v>
      </c>
      <c r="F79" s="11" t="s">
        <v>209</v>
      </c>
      <c r="G79" s="10" t="s">
        <v>76</v>
      </c>
      <c r="H79" s="10" t="s">
        <v>25</v>
      </c>
      <c r="I79" s="11"/>
      <c r="J79" s="10"/>
      <c r="K79" s="10"/>
    </row>
    <row r="80" spans="1:11" ht="45.75" customHeight="1" x14ac:dyDescent="0.3">
      <c r="A80" s="10">
        <v>79</v>
      </c>
      <c r="B80" s="11" t="s">
        <v>46</v>
      </c>
      <c r="C80" s="10" t="s">
        <v>376</v>
      </c>
      <c r="D80" s="11" t="s">
        <v>377</v>
      </c>
      <c r="E80" s="11" t="s">
        <v>378</v>
      </c>
      <c r="F80" s="11" t="s">
        <v>379</v>
      </c>
      <c r="G80" s="10" t="s">
        <v>67</v>
      </c>
      <c r="H80" s="10" t="s">
        <v>25</v>
      </c>
      <c r="I80" s="11"/>
      <c r="J80" s="10"/>
      <c r="K80" s="10"/>
    </row>
    <row r="81" spans="1:11" ht="45.75" customHeight="1" x14ac:dyDescent="0.3">
      <c r="A81" s="10">
        <v>80</v>
      </c>
      <c r="B81" s="11" t="s">
        <v>46</v>
      </c>
      <c r="C81" s="10" t="s">
        <v>380</v>
      </c>
      <c r="D81" s="11" t="s">
        <v>381</v>
      </c>
      <c r="E81" s="11" t="s">
        <v>382</v>
      </c>
      <c r="F81" s="11" t="s">
        <v>383</v>
      </c>
      <c r="G81" s="10" t="s">
        <v>67</v>
      </c>
      <c r="H81" s="10" t="s">
        <v>25</v>
      </c>
      <c r="I81" s="11"/>
      <c r="J81" s="10"/>
      <c r="K81" s="10"/>
    </row>
    <row r="82" spans="1:11" ht="45.75" customHeight="1" x14ac:dyDescent="0.3">
      <c r="A82" s="10">
        <v>81</v>
      </c>
      <c r="B82" s="11" t="s">
        <v>46</v>
      </c>
      <c r="C82" s="10" t="s">
        <v>384</v>
      </c>
      <c r="D82" s="11" t="s">
        <v>385</v>
      </c>
      <c r="E82" s="11" t="s">
        <v>386</v>
      </c>
      <c r="F82" s="11" t="s">
        <v>387</v>
      </c>
      <c r="G82" s="10" t="s">
        <v>76</v>
      </c>
      <c r="H82" s="10" t="s">
        <v>25</v>
      </c>
      <c r="I82" s="11"/>
      <c r="J82" s="10"/>
      <c r="K82" s="10"/>
    </row>
    <row r="83" spans="1:11" ht="45.75" customHeight="1" x14ac:dyDescent="0.3">
      <c r="A83" s="10">
        <v>82</v>
      </c>
      <c r="B83" s="11" t="s">
        <v>46</v>
      </c>
      <c r="C83" s="10" t="s">
        <v>388</v>
      </c>
      <c r="D83" s="11" t="s">
        <v>389</v>
      </c>
      <c r="E83" s="11" t="s">
        <v>390</v>
      </c>
      <c r="F83" s="11" t="s">
        <v>391</v>
      </c>
      <c r="G83" s="10" t="s">
        <v>141</v>
      </c>
      <c r="H83" s="10" t="s">
        <v>25</v>
      </c>
      <c r="I83" s="11"/>
      <c r="J83" s="10"/>
      <c r="K83" s="10"/>
    </row>
    <row r="84" spans="1:11" ht="45.75" customHeight="1" x14ac:dyDescent="0.3">
      <c r="A84" s="10">
        <v>83</v>
      </c>
      <c r="B84" s="11" t="s">
        <v>46</v>
      </c>
      <c r="C84" s="10" t="s">
        <v>392</v>
      </c>
      <c r="D84" s="11" t="s">
        <v>393</v>
      </c>
      <c r="E84" s="11" t="s">
        <v>394</v>
      </c>
      <c r="F84" s="11" t="s">
        <v>395</v>
      </c>
      <c r="G84" s="10" t="s">
        <v>141</v>
      </c>
      <c r="H84" s="10" t="s">
        <v>25</v>
      </c>
      <c r="I84" s="11"/>
      <c r="J84" s="10"/>
      <c r="K84" s="10"/>
    </row>
    <row r="85" spans="1:11" ht="45.75" customHeight="1" x14ac:dyDescent="0.3">
      <c r="A85" s="10">
        <v>84</v>
      </c>
      <c r="B85" s="11" t="s">
        <v>47</v>
      </c>
      <c r="C85" s="10" t="s">
        <v>396</v>
      </c>
      <c r="D85" s="11" t="s">
        <v>397</v>
      </c>
      <c r="E85" s="11" t="s">
        <v>398</v>
      </c>
      <c r="F85" s="11" t="s">
        <v>399</v>
      </c>
      <c r="G85" s="10" t="s">
        <v>67</v>
      </c>
      <c r="H85" s="10" t="s">
        <v>25</v>
      </c>
      <c r="I85" s="11"/>
      <c r="J85" s="10"/>
      <c r="K85" s="10"/>
    </row>
    <row r="86" spans="1:11" ht="45.75" customHeight="1" x14ac:dyDescent="0.3">
      <c r="A86" s="10">
        <v>85</v>
      </c>
      <c r="B86" s="11" t="s">
        <v>47</v>
      </c>
      <c r="C86" s="10" t="s">
        <v>400</v>
      </c>
      <c r="D86" s="11" t="s">
        <v>401</v>
      </c>
      <c r="E86" s="11" t="s">
        <v>402</v>
      </c>
      <c r="F86" s="11" t="s">
        <v>403</v>
      </c>
      <c r="G86" s="10" t="s">
        <v>67</v>
      </c>
      <c r="H86" s="10" t="s">
        <v>25</v>
      </c>
      <c r="I86" s="11"/>
      <c r="J86" s="10"/>
      <c r="K86" s="10"/>
    </row>
    <row r="87" spans="1:11" ht="45.75" customHeight="1" x14ac:dyDescent="0.3">
      <c r="A87" s="10">
        <v>86</v>
      </c>
      <c r="B87" s="11" t="s">
        <v>47</v>
      </c>
      <c r="C87" s="10" t="s">
        <v>404</v>
      </c>
      <c r="D87" s="11" t="s">
        <v>405</v>
      </c>
      <c r="E87" s="11" t="s">
        <v>406</v>
      </c>
      <c r="F87" s="11" t="s">
        <v>407</v>
      </c>
      <c r="G87" s="10" t="s">
        <v>76</v>
      </c>
      <c r="H87" s="10" t="s">
        <v>25</v>
      </c>
      <c r="I87" s="11"/>
      <c r="J87" s="10"/>
      <c r="K87" s="10"/>
    </row>
    <row r="88" spans="1:11" ht="45.75" customHeight="1" x14ac:dyDescent="0.3">
      <c r="A88" s="10">
        <v>87</v>
      </c>
      <c r="B88" s="11" t="s">
        <v>47</v>
      </c>
      <c r="C88" s="10" t="s">
        <v>408</v>
      </c>
      <c r="D88" s="11" t="s">
        <v>409</v>
      </c>
      <c r="E88" s="11" t="s">
        <v>410</v>
      </c>
      <c r="F88" s="11" t="s">
        <v>411</v>
      </c>
      <c r="G88" s="10" t="s">
        <v>67</v>
      </c>
      <c r="H88" s="10" t="s">
        <v>25</v>
      </c>
      <c r="I88" s="11"/>
      <c r="J88" s="10"/>
      <c r="K88" s="10"/>
    </row>
    <row r="89" spans="1:11" ht="45.75" customHeight="1" x14ac:dyDescent="0.3">
      <c r="A89" s="10">
        <v>88</v>
      </c>
      <c r="B89" s="11" t="s">
        <v>48</v>
      </c>
      <c r="C89" s="10" t="s">
        <v>412</v>
      </c>
      <c r="D89" s="11" t="s">
        <v>413</v>
      </c>
      <c r="E89" s="11" t="s">
        <v>414</v>
      </c>
      <c r="F89" s="11" t="s">
        <v>415</v>
      </c>
      <c r="G89" s="10" t="s">
        <v>67</v>
      </c>
      <c r="H89" s="10" t="s">
        <v>25</v>
      </c>
      <c r="I89" s="11"/>
      <c r="J89" s="10"/>
      <c r="K89" s="10"/>
    </row>
    <row r="90" spans="1:11" ht="45.75" customHeight="1" x14ac:dyDescent="0.3">
      <c r="A90" s="10">
        <v>89</v>
      </c>
      <c r="B90" s="11" t="s">
        <v>48</v>
      </c>
      <c r="C90" s="10" t="s">
        <v>416</v>
      </c>
      <c r="D90" s="11" t="s">
        <v>417</v>
      </c>
      <c r="E90" s="11" t="s">
        <v>418</v>
      </c>
      <c r="F90" s="11" t="s">
        <v>419</v>
      </c>
      <c r="G90" s="10" t="s">
        <v>76</v>
      </c>
      <c r="H90" s="10" t="s">
        <v>25</v>
      </c>
      <c r="I90" s="11"/>
      <c r="J90" s="10"/>
      <c r="K90" s="10"/>
    </row>
    <row r="91" spans="1:11" ht="45.75" customHeight="1" x14ac:dyDescent="0.3">
      <c r="A91" s="10">
        <v>90</v>
      </c>
      <c r="B91" s="11" t="s">
        <v>48</v>
      </c>
      <c r="C91" s="10" t="s">
        <v>420</v>
      </c>
      <c r="D91" s="11" t="s">
        <v>421</v>
      </c>
      <c r="E91" s="11" t="s">
        <v>422</v>
      </c>
      <c r="F91" s="11" t="s">
        <v>423</v>
      </c>
      <c r="G91" s="10" t="s">
        <v>67</v>
      </c>
      <c r="H91" s="10" t="s">
        <v>25</v>
      </c>
      <c r="I91" s="11"/>
      <c r="J91" s="10"/>
      <c r="K91" s="10"/>
    </row>
    <row r="92" spans="1:11" ht="45.75" customHeight="1" x14ac:dyDescent="0.3">
      <c r="A92" s="10">
        <v>91</v>
      </c>
      <c r="B92" s="11" t="s">
        <v>48</v>
      </c>
      <c r="C92" s="10" t="s">
        <v>424</v>
      </c>
      <c r="D92" s="11" t="s">
        <v>425</v>
      </c>
      <c r="E92" s="11" t="s">
        <v>426</v>
      </c>
      <c r="F92" s="11" t="s">
        <v>427</v>
      </c>
      <c r="G92" s="10" t="s">
        <v>76</v>
      </c>
      <c r="H92" s="10" t="s">
        <v>25</v>
      </c>
      <c r="I92" s="11"/>
      <c r="J92" s="10"/>
      <c r="K92" s="10"/>
    </row>
    <row r="93" spans="1:11" ht="45.75" customHeight="1" x14ac:dyDescent="0.3">
      <c r="A93" s="10">
        <v>92</v>
      </c>
      <c r="B93" s="11" t="s">
        <v>48</v>
      </c>
      <c r="C93" s="10" t="s">
        <v>428</v>
      </c>
      <c r="D93" s="11" t="s">
        <v>429</v>
      </c>
      <c r="E93" s="11" t="s">
        <v>430</v>
      </c>
      <c r="F93" s="11" t="s">
        <v>431</v>
      </c>
      <c r="G93" s="10" t="s">
        <v>67</v>
      </c>
      <c r="H93" s="10" t="s">
        <v>25</v>
      </c>
      <c r="I93" s="11"/>
      <c r="J93" s="10"/>
      <c r="K93" s="10"/>
    </row>
    <row r="94" spans="1:11" ht="45.75" customHeight="1" x14ac:dyDescent="0.3">
      <c r="A94" s="10">
        <v>93</v>
      </c>
      <c r="B94" s="11" t="s">
        <v>48</v>
      </c>
      <c r="C94" s="10" t="s">
        <v>432</v>
      </c>
      <c r="D94" s="11" t="s">
        <v>433</v>
      </c>
      <c r="E94" s="11" t="s">
        <v>434</v>
      </c>
      <c r="F94" s="11" t="s">
        <v>435</v>
      </c>
      <c r="G94" s="10" t="s">
        <v>76</v>
      </c>
      <c r="H94" s="10" t="s">
        <v>25</v>
      </c>
      <c r="I94" s="11"/>
      <c r="J94" s="10"/>
      <c r="K94" s="10"/>
    </row>
    <row r="95" spans="1:11" ht="45.75" customHeight="1" x14ac:dyDescent="0.3">
      <c r="A95" s="10">
        <v>94</v>
      </c>
      <c r="B95" s="11" t="s">
        <v>49</v>
      </c>
      <c r="C95" s="10" t="s">
        <v>436</v>
      </c>
      <c r="D95" s="11" t="s">
        <v>437</v>
      </c>
      <c r="E95" s="11" t="s">
        <v>438</v>
      </c>
      <c r="F95" s="11" t="s">
        <v>439</v>
      </c>
      <c r="G95" s="10" t="s">
        <v>76</v>
      </c>
      <c r="H95" s="10" t="s">
        <v>25</v>
      </c>
      <c r="I95" s="11"/>
      <c r="J95" s="10"/>
      <c r="K95" s="10"/>
    </row>
    <row r="96" spans="1:11" ht="45.75" customHeight="1" x14ac:dyDescent="0.3">
      <c r="A96" s="10">
        <v>95</v>
      </c>
      <c r="B96" s="11" t="s">
        <v>49</v>
      </c>
      <c r="C96" s="10" t="s">
        <v>440</v>
      </c>
      <c r="D96" s="11" t="s">
        <v>441</v>
      </c>
      <c r="E96" s="11" t="s">
        <v>442</v>
      </c>
      <c r="F96" s="11" t="s">
        <v>443</v>
      </c>
      <c r="G96" s="10" t="s">
        <v>141</v>
      </c>
      <c r="H96" s="10" t="s">
        <v>25</v>
      </c>
      <c r="I96" s="11"/>
      <c r="J96" s="10"/>
      <c r="K96" s="10"/>
    </row>
    <row r="97" spans="1:11" ht="45.75" customHeight="1" x14ac:dyDescent="0.3">
      <c r="A97" s="10">
        <v>96</v>
      </c>
      <c r="B97" s="11" t="s">
        <v>49</v>
      </c>
      <c r="C97" s="10" t="s">
        <v>444</v>
      </c>
      <c r="D97" s="11" t="s">
        <v>445</v>
      </c>
      <c r="E97" s="11" t="s">
        <v>446</v>
      </c>
      <c r="F97" s="11" t="s">
        <v>447</v>
      </c>
      <c r="G97" s="10" t="s">
        <v>76</v>
      </c>
      <c r="H97" s="10" t="s">
        <v>25</v>
      </c>
      <c r="I97" s="11"/>
      <c r="J97" s="10"/>
      <c r="K97" s="10"/>
    </row>
    <row r="98" spans="1:11" ht="45.75" customHeight="1" x14ac:dyDescent="0.3">
      <c r="A98" s="10">
        <v>97</v>
      </c>
      <c r="B98" s="11" t="s">
        <v>50</v>
      </c>
      <c r="C98" s="10" t="s">
        <v>448</v>
      </c>
      <c r="D98" s="11" t="s">
        <v>449</v>
      </c>
      <c r="E98" s="11" t="s">
        <v>450</v>
      </c>
      <c r="F98" s="11" t="s">
        <v>451</v>
      </c>
      <c r="G98" s="10" t="s">
        <v>67</v>
      </c>
      <c r="H98" s="10" t="s">
        <v>25</v>
      </c>
      <c r="I98" s="11"/>
      <c r="J98" s="10"/>
      <c r="K98" s="10"/>
    </row>
    <row r="99" spans="1:11" ht="45.75" customHeight="1" x14ac:dyDescent="0.3">
      <c r="A99" s="10">
        <v>98</v>
      </c>
      <c r="B99" s="11" t="s">
        <v>50</v>
      </c>
      <c r="C99" s="10" t="s">
        <v>452</v>
      </c>
      <c r="D99" s="11" t="s">
        <v>453</v>
      </c>
      <c r="E99" s="11" t="s">
        <v>454</v>
      </c>
      <c r="F99" s="11" t="s">
        <v>455</v>
      </c>
      <c r="G99" s="10" t="s">
        <v>67</v>
      </c>
      <c r="H99" s="10" t="s">
        <v>25</v>
      </c>
      <c r="I99" s="11"/>
      <c r="J99" s="10"/>
      <c r="K99" s="10"/>
    </row>
    <row r="100" spans="1:11" ht="45.75" customHeight="1" x14ac:dyDescent="0.3">
      <c r="A100" s="10">
        <v>99</v>
      </c>
      <c r="B100" s="11" t="s">
        <v>50</v>
      </c>
      <c r="C100" s="10" t="s">
        <v>456</v>
      </c>
      <c r="D100" s="11" t="s">
        <v>457</v>
      </c>
      <c r="E100" s="11" t="s">
        <v>458</v>
      </c>
      <c r="F100" s="11" t="s">
        <v>459</v>
      </c>
      <c r="G100" s="10" t="s">
        <v>67</v>
      </c>
      <c r="H100" s="10" t="s">
        <v>25</v>
      </c>
      <c r="I100" s="11"/>
      <c r="J100" s="10"/>
      <c r="K100" s="10"/>
    </row>
    <row r="101" spans="1:11" ht="45.75" customHeight="1" x14ac:dyDescent="0.3">
      <c r="A101" s="10">
        <v>100</v>
      </c>
      <c r="B101" s="11" t="s">
        <v>50</v>
      </c>
      <c r="C101" s="10" t="s">
        <v>460</v>
      </c>
      <c r="D101" s="11" t="s">
        <v>461</v>
      </c>
      <c r="E101" s="11" t="s">
        <v>462</v>
      </c>
      <c r="F101" s="11" t="s">
        <v>463</v>
      </c>
      <c r="G101" s="10" t="s">
        <v>76</v>
      </c>
      <c r="H101" s="10" t="s">
        <v>25</v>
      </c>
      <c r="I101" s="11"/>
      <c r="J101" s="10"/>
      <c r="K101" s="10"/>
    </row>
    <row r="102" spans="1:11" ht="45.75" customHeight="1" x14ac:dyDescent="0.3">
      <c r="A102" s="10">
        <v>101</v>
      </c>
      <c r="B102" s="11" t="s">
        <v>50</v>
      </c>
      <c r="C102" s="10" t="s">
        <v>464</v>
      </c>
      <c r="D102" s="11" t="s">
        <v>465</v>
      </c>
      <c r="E102" s="11" t="s">
        <v>466</v>
      </c>
      <c r="F102" s="11" t="s">
        <v>467</v>
      </c>
      <c r="G102" s="10" t="s">
        <v>67</v>
      </c>
      <c r="H102" s="10" t="s">
        <v>25</v>
      </c>
      <c r="I102" s="11"/>
      <c r="J102" s="10"/>
      <c r="K102" s="10"/>
    </row>
    <row r="103" spans="1:11" ht="45.75" customHeight="1" x14ac:dyDescent="0.3">
      <c r="A103" s="10">
        <v>102</v>
      </c>
      <c r="B103" s="11" t="s">
        <v>50</v>
      </c>
      <c r="C103" s="10" t="s">
        <v>468</v>
      </c>
      <c r="D103" s="11" t="s">
        <v>469</v>
      </c>
      <c r="E103" s="11" t="s">
        <v>470</v>
      </c>
      <c r="F103" s="11" t="s">
        <v>471</v>
      </c>
      <c r="G103" s="10" t="s">
        <v>76</v>
      </c>
      <c r="H103" s="10" t="s">
        <v>25</v>
      </c>
      <c r="I103" s="11"/>
      <c r="J103" s="10"/>
      <c r="K103" s="10"/>
    </row>
    <row r="104" spans="1:11" ht="45.75" customHeight="1" x14ac:dyDescent="0.3">
      <c r="A104" s="10">
        <v>103</v>
      </c>
      <c r="B104" s="11" t="s">
        <v>50</v>
      </c>
      <c r="C104" s="10" t="s">
        <v>472</v>
      </c>
      <c r="D104" s="11" t="s">
        <v>473</v>
      </c>
      <c r="E104" s="11" t="s">
        <v>474</v>
      </c>
      <c r="F104" s="11" t="s">
        <v>475</v>
      </c>
      <c r="G104" s="10" t="s">
        <v>67</v>
      </c>
      <c r="H104" s="10" t="s">
        <v>25</v>
      </c>
      <c r="I104" s="11"/>
      <c r="J104" s="10"/>
      <c r="K104" s="10"/>
    </row>
    <row r="105" spans="1:11" ht="45.75" customHeight="1" x14ac:dyDescent="0.3">
      <c r="A105" s="10">
        <v>104</v>
      </c>
      <c r="B105" s="11" t="s">
        <v>50</v>
      </c>
      <c r="C105" s="10" t="s">
        <v>476</v>
      </c>
      <c r="D105" s="11" t="s">
        <v>477</v>
      </c>
      <c r="E105" s="11" t="s">
        <v>478</v>
      </c>
      <c r="F105" s="11" t="s">
        <v>479</v>
      </c>
      <c r="G105" s="10" t="s">
        <v>67</v>
      </c>
      <c r="H105" s="10" t="s">
        <v>25</v>
      </c>
      <c r="I105" s="11"/>
      <c r="J105" s="10"/>
      <c r="K105" s="10"/>
    </row>
    <row r="106" spans="1:11" ht="45.75" customHeight="1" x14ac:dyDescent="0.3">
      <c r="A106" s="10">
        <v>105</v>
      </c>
      <c r="B106" s="11" t="s">
        <v>51</v>
      </c>
      <c r="C106" s="10" t="s">
        <v>480</v>
      </c>
      <c r="D106" s="11" t="s">
        <v>481</v>
      </c>
      <c r="E106" s="11" t="s">
        <v>482</v>
      </c>
      <c r="F106" s="11" t="s">
        <v>483</v>
      </c>
      <c r="G106" s="10" t="s">
        <v>76</v>
      </c>
      <c r="H106" s="10" t="s">
        <v>25</v>
      </c>
      <c r="I106" s="11"/>
      <c r="J106" s="10"/>
      <c r="K106" s="10"/>
    </row>
    <row r="107" spans="1:11" ht="45.75" customHeight="1" x14ac:dyDescent="0.3">
      <c r="A107" s="10">
        <v>106</v>
      </c>
      <c r="B107" s="11" t="s">
        <v>51</v>
      </c>
      <c r="C107" s="10" t="s">
        <v>484</v>
      </c>
      <c r="D107" s="11" t="s">
        <v>485</v>
      </c>
      <c r="E107" s="11" t="s">
        <v>486</v>
      </c>
      <c r="F107" s="11" t="s">
        <v>487</v>
      </c>
      <c r="G107" s="10" t="s">
        <v>67</v>
      </c>
      <c r="H107" s="10" t="s">
        <v>25</v>
      </c>
      <c r="I107" s="11"/>
      <c r="J107" s="10"/>
      <c r="K107" s="10"/>
    </row>
    <row r="108" spans="1:11" ht="45.75" customHeight="1" x14ac:dyDescent="0.3">
      <c r="A108" s="10">
        <v>107</v>
      </c>
      <c r="B108" s="11" t="s">
        <v>51</v>
      </c>
      <c r="C108" s="10" t="s">
        <v>488</v>
      </c>
      <c r="D108" s="11" t="s">
        <v>489</v>
      </c>
      <c r="E108" s="11" t="s">
        <v>490</v>
      </c>
      <c r="F108" s="11" t="s">
        <v>491</v>
      </c>
      <c r="G108" s="10" t="s">
        <v>76</v>
      </c>
      <c r="H108" s="10" t="s">
        <v>25</v>
      </c>
      <c r="I108" s="11"/>
      <c r="J108" s="10"/>
      <c r="K108" s="10"/>
    </row>
    <row r="109" spans="1:11" ht="45.75" customHeight="1" x14ac:dyDescent="0.3">
      <c r="A109" s="10">
        <v>108</v>
      </c>
      <c r="B109" s="11" t="s">
        <v>51</v>
      </c>
      <c r="C109" s="10" t="s">
        <v>492</v>
      </c>
      <c r="D109" s="11" t="s">
        <v>493</v>
      </c>
      <c r="E109" s="11" t="s">
        <v>494</v>
      </c>
      <c r="F109" s="11" t="s">
        <v>495</v>
      </c>
      <c r="G109" s="10" t="s">
        <v>141</v>
      </c>
      <c r="H109" s="10" t="s">
        <v>25</v>
      </c>
      <c r="I109" s="11"/>
      <c r="J109" s="10"/>
      <c r="K109" s="10"/>
    </row>
    <row r="110" spans="1:11" ht="45.75" customHeight="1" x14ac:dyDescent="0.3">
      <c r="A110" s="10">
        <v>109</v>
      </c>
      <c r="B110" s="11" t="s">
        <v>51</v>
      </c>
      <c r="C110" s="10" t="s">
        <v>496</v>
      </c>
      <c r="D110" s="11" t="s">
        <v>497</v>
      </c>
      <c r="E110" s="11" t="s">
        <v>498</v>
      </c>
      <c r="F110" s="11" t="s">
        <v>499</v>
      </c>
      <c r="G110" s="10" t="s">
        <v>67</v>
      </c>
      <c r="H110" s="10" t="s">
        <v>25</v>
      </c>
      <c r="I110" s="11"/>
      <c r="J110" s="10"/>
      <c r="K110" s="10"/>
    </row>
    <row r="111" spans="1:11" ht="45.75" customHeight="1" x14ac:dyDescent="0.3">
      <c r="A111" s="10">
        <v>110</v>
      </c>
      <c r="B111" s="11" t="s">
        <v>51</v>
      </c>
      <c r="C111" s="10" t="s">
        <v>500</v>
      </c>
      <c r="D111" s="11" t="s">
        <v>501</v>
      </c>
      <c r="E111" s="11" t="s">
        <v>502</v>
      </c>
      <c r="F111" s="11" t="s">
        <v>503</v>
      </c>
      <c r="G111" s="10" t="s">
        <v>141</v>
      </c>
      <c r="H111" s="10" t="s">
        <v>25</v>
      </c>
      <c r="I111" s="11"/>
      <c r="J111" s="10"/>
      <c r="K111" s="10"/>
    </row>
  </sheetData>
  <autoFilter ref="A1:K111"/>
  <conditionalFormatting sqref="H2:H111">
    <cfRule type="cellIs" dxfId="4" priority="2" operator="equal">
      <formula>"Pass"</formula>
    </cfRule>
    <cfRule type="cellIs" dxfId="3" priority="3" operator="equal">
      <formula>"Fail"</formula>
    </cfRule>
    <cfRule type="cellIs" dxfId="2" priority="4" operator="equal">
      <formula>"Blocked"</formula>
    </cfRule>
    <cfRule type="cellIs" dxfId="1" priority="5" operator="equal">
      <formula>"Not Tested"</formula>
    </cfRule>
  </conditionalFormatting>
  <conditionalFormatting sqref="G2:G111">
    <cfRule type="cellIs" dxfId="0" priority="6" operator="equal">
      <formula>"High"</formula>
    </cfRule>
  </conditionalFormatting>
  <dataValidations count="2">
    <dataValidation type="list" allowBlank="1" errorTitle="Invalid entry" error="Please choose a value from the list." sqref="H2:H111">
      <formula1>"Not Tested,Pass,Fail,Blocked,N/A"</formula1>
      <formula2>0</formula2>
    </dataValidation>
    <dataValidation type="list" allowBlank="1" sqref="G2:G111">
      <formula1>"High,Medium,Low"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Instructions</vt:lpstr>
      <vt:lpstr>Summary</vt:lpstr>
      <vt:lpstr>UAT Checklist</vt:lpstr>
      <vt:lpstr>Instructions!Print_Area</vt:lpstr>
      <vt:lpstr>Summary!Print_Area</vt:lpstr>
      <vt:lpstr>'UAT Checklist'!Print_Area</vt:lpstr>
      <vt:lpstr>'UAT Checklist'!Print_Titles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2026-09-17T05:23:26Z</dcterms:created>
  <dcterms:modified xsi:type="dcterms:W3CDTF">2026-09-19T12:56:29Z</dcterms:modified>
  <dc:language>en-US</dc:language>
</cp:coreProperties>
</file>